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&quot;x&quot;"/>
    <numFmt numFmtId="166" formatCode="$#,##0.00"/>
    <numFmt numFmtId="167" formatCode="#,##0;(#,##0)"/>
  </numFmts>
  <fonts count="9">
    <font>
      <name val="Calibri"/>
      <family val="2"/>
      <color theme="1"/>
      <sz val="11"/>
      <scheme val="minor"/>
    </font>
    <font>
      <name val="Times New Roman"/>
      <b val="1"/>
      <color rgb="00FFFFFF"/>
      <sz val="14"/>
    </font>
    <font>
      <name val="Times New Roman"/>
      <i val="1"/>
      <color rgb="00000000"/>
      <sz val="10"/>
    </font>
    <font>
      <name val="Times New Roman"/>
      <b val="1"/>
      <color rgb="00FFFFFF"/>
      <sz val="12"/>
    </font>
    <font>
      <name val="Times New Roman"/>
      <b val="1"/>
      <color rgb="00000000"/>
      <sz val="11"/>
    </font>
    <font>
      <name val="Times New Roman"/>
      <color rgb="00000000"/>
      <sz val="11"/>
    </font>
    <font>
      <name val="Times New Roman"/>
      <color rgb="000070C0"/>
      <sz val="11"/>
    </font>
    <font>
      <name val="Times New Roman"/>
      <b val="1"/>
      <i val="1"/>
      <color rgb="00000000"/>
      <sz val="11"/>
    </font>
    <font>
      <name val="Times New Roman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  <xf numFmtId="164" fontId="5" fillId="4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3" fontId="5" fillId="0" borderId="0" applyAlignment="1" pivotButton="0" quotePrefix="0" xfId="0">
      <alignment horizontal="center" vertical="center"/>
    </xf>
    <xf numFmtId="167" fontId="6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5" fontId="5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Comps</author>
  </authors>
  <commentList>
    <comment ref="B7" authorId="0" shapeId="0">
      <text>
        <t>NVDA — Revenue (LTM, $M), FY25 (LTM through Jan 26, 2025)
Source: NVIDIA FY25 10-K (year ended Jan 26, 2025); SBC of $4.7B added to GAAP EBITDA for non-GAAP figure
Note: Figure from training-data recall (Jan 2026 cutoff). VERIFY against the cited filing on SEC EDGAR before publishing or trading on this output.</t>
      </text>
    </comment>
    <comment ref="C7" authorId="0" shapeId="0">
      <text>
        <t>NVDA — Revenue YoY growth, FY25 (LTM through Jan 26, 2025)
Source: NVIDIA FY25 10-K (year ended Jan 26, 2025); SBC of $4.7B added to GAAP EBITDA for non-GAAP figure
Note: Figure from training-data recall (Jan 2026 cutoff). VERIFY against the cited filing on SEC EDGAR before publishing or trading on this output.</t>
      </text>
    </comment>
    <comment ref="D7" authorId="0" shapeId="0">
      <text>
        <t>NVDA — Gross Profit ($M), FY25 (LTM through Jan 26, 2025)
Source: NVIDIA FY25 10-K (year ended Jan 26, 2025); SBC of $4.7B added to GAAP EBITDA for non-GAAP figure
Note: Figure from training-data recall (Jan 2026 cutoff). VERIFY against the cited filing on SEC EDGAR before publishing or trading on this output.</t>
      </text>
    </comment>
    <comment ref="F7" authorId="0" shapeId="0">
      <text>
        <t>NVDA — Adjusted (non-GAAP) EBITDA ($M), FY25 (LTM through Jan 26, 2025)
Source: NVIDIA FY25 10-K (year ended Jan 26, 2025); SBC of $4.7B added to GAAP EBITDA for non-GAAP figure
Note: Figure from training-data recall (Jan 2026 cutoff). VERIFY against the cited filing on SEC EDGAR before publishing or trading on this output.</t>
      </text>
    </comment>
    <comment ref="H7" authorId="0" shapeId="0">
      <text>
        <t>NVDA — Free Cash Flow ($M), FY25 (LTM through Jan 26, 2025)
Source: NVIDIA FY25 10-K (year ended Jan 26, 2025); SBC of $4.7B added to GAAP EBITDA for non-GAAP figure
Note: Figure from training-data recall (Jan 2026 cutoff). VERIFY against the cited filing on SEC EDGAR before publishing or trading on this output.</t>
      </text>
    </comment>
    <comment ref="B8" authorId="0" shapeId="0">
      <text>
        <t>AMD — Revenue (LTM, $M), FY24 (LTM through Dec 28, 2024)
Source: AMD FY24 10-K (year ended Dec 28, 2024); adj EBITDA per AMD non-GAAP recon
Note: Figure from training-data recall (Jan 2026 cutoff). VERIFY against the cited filing on SEC EDGAR before publishing or trading on this output.</t>
      </text>
    </comment>
    <comment ref="C8" authorId="0" shapeId="0">
      <text>
        <t>AMD — Revenue YoY growth, FY24 (LTM through Dec 28, 2024)
Source: AMD FY24 10-K (year ended Dec 28, 2024); adj EBITDA per AMD non-GAAP recon
Note: Figure from training-data recall (Jan 2026 cutoff). VERIFY against the cited filing on SEC EDGAR before publishing or trading on this output.</t>
      </text>
    </comment>
    <comment ref="D8" authorId="0" shapeId="0">
      <text>
        <t>AMD — Gross Profit ($M), FY24 (LTM through Dec 28, 2024)
Source: AMD FY24 10-K (year ended Dec 28, 2024); adj EBITDA per AMD non-GAAP recon
Note: Figure from training-data recall (Jan 2026 cutoff). VERIFY against the cited filing on SEC EDGAR before publishing or trading on this output.</t>
      </text>
    </comment>
    <comment ref="F8" authorId="0" shapeId="0">
      <text>
        <t>AMD — Adjusted (non-GAAP) EBITDA ($M), FY24 (LTM through Dec 28, 2024)
Source: AMD FY24 10-K (year ended Dec 28, 2024); adj EBITDA per AMD non-GAAP recon
Note: Figure from training-data recall (Jan 2026 cutoff). VERIFY against the cited filing on SEC EDGAR before publishing or trading on this output.</t>
      </text>
    </comment>
    <comment ref="H8" authorId="0" shapeId="0">
      <text>
        <t>AMD — Free Cash Flow ($M), FY24 (LTM through Dec 28, 2024)
Source: AMD FY24 10-K (year ended Dec 28, 2024); adj EBITDA per AMD non-GAAP recon
Note: Figure from training-data recall (Jan 2026 cutoff). VERIFY against the cited filing on SEC EDGAR before publishing or trading on this output.</t>
      </text>
    </comment>
    <comment ref="B9" authorId="0" shapeId="0">
      <text>
        <t>INTC — Revenue (LTM, $M), FY24 (LTM through Dec 28, 2024)
Source: Intel FY24 10-K (year ended Dec 28, 2024); EPS reflects GAAP loss
Note: Figure from training-data recall (Jan 2026 cutoff). VERIFY against the cited filing on SEC EDGAR before publishing or trading on this output.</t>
      </text>
    </comment>
    <comment ref="C9" authorId="0" shapeId="0">
      <text>
        <t>INTC — Revenue YoY growth, FY24 (LTM through Dec 28, 2024)
Source: Intel FY24 10-K (year ended Dec 28, 2024); EPS reflects GAAP loss
Note: Figure from training-data recall (Jan 2026 cutoff). VERIFY against the cited filing on SEC EDGAR before publishing or trading on this output.</t>
      </text>
    </comment>
    <comment ref="D9" authorId="0" shapeId="0">
      <text>
        <t>INTC — Gross Profit ($M), FY24 (LTM through Dec 28, 2024)
Source: Intel FY24 10-K (year ended Dec 28, 2024); EPS reflects GAAP loss
Note: Figure from training-data recall (Jan 2026 cutoff). VERIFY against the cited filing on SEC EDGAR before publishing or trading on this output.</t>
      </text>
    </comment>
    <comment ref="F9" authorId="0" shapeId="0">
      <text>
        <t>INTC — Adjusted (non-GAAP) EBITDA ($M), FY24 (LTM through Dec 28, 2024)
Source: Intel FY24 10-K (year ended Dec 28, 2024); EPS reflects GAAP loss
Note: Figure from training-data recall (Jan 2026 cutoff). VERIFY against the cited filing on SEC EDGAR before publishing or trading on this output.</t>
      </text>
    </comment>
    <comment ref="H9" authorId="0" shapeId="0">
      <text>
        <t>INTC — Free Cash Flow ($M), FY24 (LTM through Dec 28, 2024)
Source: Intel FY24 10-K (year ended Dec 28, 2024); EPS reflects GAAP loss
Note: Figure from training-data recall (Jan 2026 cutoff). VERIFY against the cited filing on SEC EDGAR before publishing or trading on this output.</t>
      </text>
    </comment>
    <comment ref="B10" authorId="0" shapeId="0">
      <text>
        <t>AVGO — Revenue (LTM, $M), FY24 (LTM through Nov 3, 2024)
Source: Broadcom FY24 10-K (year ended Nov 3, 2024); Gross Profit shown is NON-GAAP (adds back $7.2B amortization of acquired developed technology in COGS) for consistency with non-GAAP EBITDA
Note: Figure from training-data recall (Jan 2026 cutoff). VERIFY against the cited filing on SEC EDGAR before publishing or trading on this output.</t>
      </text>
    </comment>
    <comment ref="C10" authorId="0" shapeId="0">
      <text>
        <t>AVGO — Revenue YoY growth, FY24 (LTM through Nov 3, 2024)
Source: Broadcom FY24 10-K (year ended Nov 3, 2024); Gross Profit shown is NON-GAAP (adds back $7.2B amortization of acquired developed technology in COGS) for consistency with non-GAAP EBITDA
Note: Figure from training-data recall (Jan 2026 cutoff). VERIFY against the cited filing on SEC EDGAR before publishing or trading on this output.</t>
      </text>
    </comment>
    <comment ref="D10" authorId="0" shapeId="0">
      <text>
        <t>AVGO — Gross Profit ($M), FY24 (LTM through Nov 3, 2024)
Source: Broadcom FY24 10-K (year ended Nov 3, 2024); Gross Profit shown is NON-GAAP (adds back $7.2B amortization of acquired developed technology in COGS) for consistency with non-GAAP EBITDA
Note: Figure from training-data recall (Jan 2026 cutoff). VERIFY against the cited filing on SEC EDGAR before publishing or trading on this output.</t>
      </text>
    </comment>
    <comment ref="F10" authorId="0" shapeId="0">
      <text>
        <t>AVGO — Adjusted (non-GAAP) EBITDA ($M), FY24 (LTM through Nov 3, 2024)
Source: Broadcom FY24 10-K (year ended Nov 3, 2024); Gross Profit shown is NON-GAAP (adds back $7.2B amortization of acquired developed technology in COGS) for consistency with non-GAAP EBITDA
Note: Figure from training-data recall (Jan 2026 cutoff). VERIFY against the cited filing on SEC EDGAR before publishing or trading on this output.</t>
      </text>
    </comment>
    <comment ref="H10" authorId="0" shapeId="0">
      <text>
        <t>AVGO — Free Cash Flow ($M), FY24 (LTM through Nov 3, 2024)
Source: Broadcom FY24 10-K (year ended Nov 3, 2024); Gross Profit shown is NON-GAAP (adds back $7.2B amortization of acquired developed technology in COGS) for consistency with non-GAAP EBITDA
Note: Figure from training-data recall (Jan 2026 cutoff). VERIFY against the cited filing on SEC EDGAR before publishing or trading on this output.</t>
      </text>
    </comment>
    <comment ref="B11" authorId="0" shapeId="0">
      <text>
        <t>QCOM — Revenue (LTM, $M), FY24 (LTM through Sep 29, 2024)
Source: Qualcomm FY24 10-K (year ended Sep 29, 2024)
Note: Figure from training-data recall (Jan 2026 cutoff). VERIFY against the cited filing on SEC EDGAR before publishing or trading on this output.</t>
      </text>
    </comment>
    <comment ref="C11" authorId="0" shapeId="0">
      <text>
        <t>QCOM — Revenue YoY growth, FY24 (LTM through Sep 29, 2024)
Source: Qualcomm FY24 10-K (year ended Sep 29, 2024)
Note: Figure from training-data recall (Jan 2026 cutoff). VERIFY against the cited filing on SEC EDGAR before publishing or trading on this output.</t>
      </text>
    </comment>
    <comment ref="D11" authorId="0" shapeId="0">
      <text>
        <t>QCOM — Gross Profit ($M), FY24 (LTM through Sep 29, 2024)
Source: Qualcomm FY24 10-K (year ended Sep 29, 2024)
Note: Figure from training-data recall (Jan 2026 cutoff). VERIFY against the cited filing on SEC EDGAR before publishing or trading on this output.</t>
      </text>
    </comment>
    <comment ref="F11" authorId="0" shapeId="0">
      <text>
        <t>QCOM — Adjusted (non-GAAP) EBITDA ($M), FY24 (LTM through Sep 29, 2024)
Source: Qualcomm FY24 10-K (year ended Sep 29, 2024)
Note: Figure from training-data recall (Jan 2026 cutoff). VERIFY against the cited filing on SEC EDGAR before publishing or trading on this output.</t>
      </text>
    </comment>
    <comment ref="H11" authorId="0" shapeId="0">
      <text>
        <t>QCOM — Free Cash Flow ($M), FY24 (LTM through Sep 29, 2024)
Source: Qualcomm FY24 10-K (year ended Sep 29, 2024)
Note: Figure from training-data recall (Jan 2026 cutoff). VERIFY against the cited filing on SEC EDGAR before publishing or trading on this output.</t>
      </text>
    </comment>
    <comment ref="B12" authorId="0" shapeId="0">
      <text>
        <t>MRVL — Revenue (LTM, $M), FY25 (LTM through Feb 1, 2025)
Source: Marvell FY25 10-K (year ended Feb 1, 2025); EPS reflects GAAP loss
Note: Figure from training-data recall (Jan 2026 cutoff). VERIFY against the cited filing on SEC EDGAR before publishing or trading on this output.</t>
      </text>
    </comment>
    <comment ref="C12" authorId="0" shapeId="0">
      <text>
        <t>MRVL — Revenue YoY growth, FY25 (LTM through Feb 1, 2025)
Source: Marvell FY25 10-K (year ended Feb 1, 2025); EPS reflects GAAP loss
Note: Figure from training-data recall (Jan 2026 cutoff). VERIFY against the cited filing on SEC EDGAR before publishing or trading on this output.</t>
      </text>
    </comment>
    <comment ref="D12" authorId="0" shapeId="0">
      <text>
        <t>MRVL — Gross Profit ($M), FY25 (LTM through Feb 1, 2025)
Source: Marvell FY25 10-K (year ended Feb 1, 2025); EPS reflects GAAP loss
Note: Figure from training-data recall (Jan 2026 cutoff). VERIFY against the cited filing on SEC EDGAR before publishing or trading on this output.</t>
      </text>
    </comment>
    <comment ref="F12" authorId="0" shapeId="0">
      <text>
        <t>MRVL — Adjusted (non-GAAP) EBITDA ($M), FY25 (LTM through Feb 1, 2025)
Source: Marvell FY25 10-K (year ended Feb 1, 2025); EPS reflects GAAP loss
Note: Figure from training-data recall (Jan 2026 cutoff). VERIFY against the cited filing on SEC EDGAR before publishing or trading on this output.</t>
      </text>
    </comment>
    <comment ref="H12" authorId="0" shapeId="0">
      <text>
        <t>MRVL — Free Cash Flow ($M), FY25 (LTM through Feb 1, 2025)
Source: Marvell FY25 10-K (year ended Feb 1, 2025); EPS reflects GAAP loss
Note: Figure from training-data recall (Jan 2026 cutoff). VERIFY against the cited filing on SEC EDGAR before publishing or trading on this output.</t>
      </text>
    </comment>
    <comment ref="B13" authorId="0" shapeId="0">
      <text>
        <t>ARM — Revenue (LTM, $M), FY25 (LTM through Mar 31, 2025)
Source: Arm Holdings FY25 10-K (year ended Mar 31, 2025); first full FY as public company
Note: Figure from training-data recall (Jan 2026 cutoff). VERIFY against the cited filing on SEC EDGAR before publishing or trading on this output.</t>
      </text>
    </comment>
    <comment ref="C13" authorId="0" shapeId="0">
      <text>
        <t>ARM — Revenue YoY growth, FY25 (LTM through Mar 31, 2025)
Source: Arm Holdings FY25 10-K (year ended Mar 31, 2025); first full FY as public company
Note: Figure from training-data recall (Jan 2026 cutoff). VERIFY against the cited filing on SEC EDGAR before publishing or trading on this output.</t>
      </text>
    </comment>
    <comment ref="D13" authorId="0" shapeId="0">
      <text>
        <t>ARM — Gross Profit ($M), FY25 (LTM through Mar 31, 2025)
Source: Arm Holdings FY25 10-K (year ended Mar 31, 2025); first full FY as public company
Note: Figure from training-data recall (Jan 2026 cutoff). VERIFY against the cited filing on SEC EDGAR before publishing or trading on this output.</t>
      </text>
    </comment>
    <comment ref="F13" authorId="0" shapeId="0">
      <text>
        <t>ARM — Adjusted (non-GAAP) EBITDA ($M), FY25 (LTM through Mar 31, 2025)
Source: Arm Holdings FY25 10-K (year ended Mar 31, 2025); first full FY as public company
Note: Figure from training-data recall (Jan 2026 cutoff). VERIFY against the cited filing on SEC EDGAR before publishing or trading on this output.</t>
      </text>
    </comment>
    <comment ref="H13" authorId="0" shapeId="0">
      <text>
        <t>ARM — Free Cash Flow ($M), FY25 (LTM through Mar 31, 2025)
Source: Arm Holdings FY25 10-K (year ended Mar 31, 2025); first full FY as public company
Note: Figure from training-data recall (Jan 2026 cutoff). VERIFY against the cited filing on SEC EDGAR before publishing or trading on this output.</t>
      </text>
    </comment>
    <comment ref="B14" authorId="0" shapeId="0">
      <text>
        <t>TSM — Revenue (LTM, $M), FY24 (LTM through Dec 31, 2024)
Source: TSMC FY24 20-F (year ended Dec 31, 2024); NT$ converted to USD at avg rate; ADR-equivalent share count (1 ADR = 5 ordinary). EBITDA = OpInc + D&amp;A; NOTE: EBITDA margin &gt; GM is structural (large fab D&amp;A in COGS gets added back to EBITDA but not GP)
Note: Figure from training-data recall (Jan 2026 cutoff). VERIFY against the cited filing on SEC EDGAR before publishing or trading on this output.</t>
      </text>
    </comment>
    <comment ref="C14" authorId="0" shapeId="0">
      <text>
        <t>TSM — Revenue YoY growth, FY24 (LTM through Dec 31, 2024)
Source: TSMC FY24 20-F (year ended Dec 31, 2024); NT$ converted to USD at avg rate; ADR-equivalent share count (1 ADR = 5 ordinary). EBITDA = OpInc + D&amp;A; NOTE: EBITDA margin &gt; GM is structural (large fab D&amp;A in COGS gets added back to EBITDA but not GP)
Note: Figure from training-data recall (Jan 2026 cutoff). VERIFY against the cited filing on SEC EDGAR before publishing or trading on this output.</t>
      </text>
    </comment>
    <comment ref="D14" authorId="0" shapeId="0">
      <text>
        <t>TSM — Gross Profit ($M), FY24 (LTM through Dec 31, 2024)
Source: TSMC FY24 20-F (year ended Dec 31, 2024); NT$ converted to USD at avg rate; ADR-equivalent share count (1 ADR = 5 ordinary). EBITDA = OpInc + D&amp;A; NOTE: EBITDA margin &gt; GM is structural (large fab D&amp;A in COGS gets added back to EBITDA but not GP)
Note: Figure from training-data recall (Jan 2026 cutoff). VERIFY against the cited filing on SEC EDGAR before publishing or trading on this output.</t>
      </text>
    </comment>
    <comment ref="F14" authorId="0" shapeId="0">
      <text>
        <t>TSM — Adjusted (non-GAAP) EBITDA ($M), FY24 (LTM through Dec 31, 2024)
Source: TSMC FY24 20-F (year ended Dec 31, 2024); NT$ converted to USD at avg rate; ADR-equivalent share count (1 ADR = 5 ordinary). EBITDA = OpInc + D&amp;A; NOTE: EBITDA margin &gt; GM is structural (large fab D&amp;A in COGS gets added back to EBITDA but not GP)
Note: Figure from training-data recall (Jan 2026 cutoff). VERIFY against the cited filing on SEC EDGAR before publishing or trading on this output.</t>
      </text>
    </comment>
    <comment ref="H14" authorId="0" shapeId="0">
      <text>
        <t>TSM — Free Cash Flow ($M), FY24 (LTM through Dec 31, 2024)
Source: TSMC FY24 20-F (year ended Dec 31, 2024); NT$ converted to USD at avg rate; ADR-equivalent share count (1 ADR = 5 ordinary). EBITDA = OpInc + D&amp;A; NOTE: EBITDA margin &gt; GM is structural (large fab D&amp;A in COGS gets added back to EBITDA but not GP)
Note: Figure from training-data recall (Jan 2026 cutoff). VERIFY against the cited filing on SEC EDGAR before publishing or trading on this output.</t>
      </text>
    </comment>
    <comment ref="B25" authorId="0" shapeId="0">
      <text>
        <t>NVDA — Share Price ($), illustrative as-of 2026-05-21
Source: Approximate close as of 2026-05-21; placeholder — replace with verified market data
Note: Figure from training-data recall (Jan 2026 cutoff). VERIFY against the cited filing on SEC EDGAR before publishing or trading on this output.</t>
      </text>
    </comment>
    <comment ref="C25" authorId="0" shapeId="0">
      <text>
        <t>NVDA — Diluted Shares Outstanding (M), per most recent 10-Q cover page
Source: NVIDIA FY25 10-K (year ended Jan 26, 2025); SBC of $4.7B added to GAAP EBITDA for non-GAAP figure
Note: Figure from training-data recall (Jan 2026 cutoff). VERIFY against the cited filing on SEC EDGAR before publishing or trading on this output.</t>
      </text>
    </comment>
    <comment ref="E25" authorId="0" shapeId="0">
      <text>
        <t>NVDA — Net Debt ($M, negative = net cash) = Total Debt - Cash &amp; ST Investments, most recent b/s
Source: NVIDIA FY25 10-K (year ended Jan 26, 2025); SBC of $4.7B added to GAAP EBITDA for non-GAAP figure
Note: Figure from training-data recall (Jan 2026 cutoff). VERIFY against the cited filing on SEC EDGAR before publishing or trading on this output.</t>
      </text>
    </comment>
    <comment ref="J25" authorId="0" shapeId="0">
      <text>
        <t>NVDA — Diluted EPS (LTM, $), FY25 (LTM through Jan 26, 2025)
Source: NVIDIA FY25 10-K (year ended Jan 26, 2025); SBC of $4.7B added to GAAP EBITDA for non-GAAP figure
Note: Figure from training-data recall (Jan 2026 cutoff). VERIFY against the cited filing on SEC EDGAR before publishing or trading on this output.</t>
      </text>
    </comment>
    <comment ref="B26" authorId="0" shapeId="0">
      <text>
        <t>AMD — Share Price ($), illustrative as-of 2026-05-21
Source: Approximate close as of 2026-05-21; placeholder — replace with verified market data
Note: Figure from training-data recall (Jan 2026 cutoff). VERIFY against the cited filing on SEC EDGAR before publishing or trading on this output.</t>
      </text>
    </comment>
    <comment ref="C26" authorId="0" shapeId="0">
      <text>
        <t>AMD — Diluted Shares Outstanding (M), per most recent 10-Q cover page
Source: AMD FY24 10-K (year ended Dec 28, 2024); adj EBITDA per AMD non-GAAP recon
Note: Figure from training-data recall (Jan 2026 cutoff). VERIFY against the cited filing on SEC EDGAR before publishing or trading on this output.</t>
      </text>
    </comment>
    <comment ref="E26" authorId="0" shapeId="0">
      <text>
        <t>AMD — Net Debt ($M, negative = net cash) = Total Debt - Cash &amp; ST Investments, most recent b/s
Source: AMD FY24 10-K (year ended Dec 28, 2024); adj EBITDA per AMD non-GAAP recon
Note: Figure from training-data recall (Jan 2026 cutoff). VERIFY against the cited filing on SEC EDGAR before publishing or trading on this output.</t>
      </text>
    </comment>
    <comment ref="J26" authorId="0" shapeId="0">
      <text>
        <t>AMD — Diluted EPS (LTM, $), FY24 (LTM through Dec 28, 2024)
Source: AMD FY24 10-K (year ended Dec 28, 2024); adj EBITDA per AMD non-GAAP recon
Note: Figure from training-data recall (Jan 2026 cutoff). VERIFY against the cited filing on SEC EDGAR before publishing or trading on this output.</t>
      </text>
    </comment>
    <comment ref="B27" authorId="0" shapeId="0">
      <text>
        <t>INTC — Share Price ($), illustrative as-of 2026-05-21
Source: Approximate close as of 2026-05-21; placeholder — replace with verified market data
Note: Figure from training-data recall (Jan 2026 cutoff). VERIFY against the cited filing on SEC EDGAR before publishing or trading on this output.</t>
      </text>
    </comment>
    <comment ref="C27" authorId="0" shapeId="0">
      <text>
        <t>INTC — Diluted Shares Outstanding (M), per most recent 10-Q cover page
Source: Intel FY24 10-K (year ended Dec 28, 2024); EPS reflects GAAP loss
Note: Figure from training-data recall (Jan 2026 cutoff). VERIFY against the cited filing on SEC EDGAR before publishing or trading on this output.</t>
      </text>
    </comment>
    <comment ref="E27" authorId="0" shapeId="0">
      <text>
        <t>INTC — Net Debt ($M, negative = net cash) = Total Debt - Cash &amp; ST Investments, most recent b/s
Source: Intel FY24 10-K (year ended Dec 28, 2024); EPS reflects GAAP loss
Note: Figure from training-data recall (Jan 2026 cutoff). VERIFY against the cited filing on SEC EDGAR before publishing or trading on this output.</t>
      </text>
    </comment>
    <comment ref="J27" authorId="0" shapeId="0">
      <text>
        <t>INTC — Diluted EPS (LTM, $), FY24 (LTM through Dec 28, 2024)
Source: Intel FY24 10-K (year ended Dec 28, 2024); EPS reflects GAAP loss
Note: Figure from training-data recall (Jan 2026 cutoff). VERIFY against the cited filing on SEC EDGAR before publishing or trading on this output.</t>
      </text>
    </comment>
    <comment ref="B28" authorId="0" shapeId="0">
      <text>
        <t>AVGO — Share Price ($), illustrative as-of 2026-05-21
Source: Approximate close as of 2026-05-21; placeholder — replace with verified market data
Note: Figure from training-data recall (Jan 2026 cutoff). VERIFY against the cited filing on SEC EDGAR before publishing or trading on this output.</t>
      </text>
    </comment>
    <comment ref="C28" authorId="0" shapeId="0">
      <text>
        <t>AVGO — Diluted Shares Outstanding (M), per most recent 10-Q cover page
Source: Broadcom FY24 10-K (year ended Nov 3, 2024); Gross Profit shown is NON-GAAP (adds back $7.2B amortization of acquired developed technology in COGS) for consistency with non-GAAP EBITDA
Note: Figure from training-data recall (Jan 2026 cutoff). VERIFY against the cited filing on SEC EDGAR before publishing or trading on this output.</t>
      </text>
    </comment>
    <comment ref="E28" authorId="0" shapeId="0">
      <text>
        <t>AVGO — Net Debt ($M, negative = net cash) = Total Debt - Cash &amp; ST Investments, most recent b/s
Source: Broadcom FY24 10-K (year ended Nov 3, 2024); Gross Profit shown is NON-GAAP (adds back $7.2B amortization of acquired developed technology in COGS) for consistency with non-GAAP EBITDA
Note: Figure from training-data recall (Jan 2026 cutoff). VERIFY against the cited filing on SEC EDGAR before publishing or trading on this output.</t>
      </text>
    </comment>
    <comment ref="J28" authorId="0" shapeId="0">
      <text>
        <t>AVGO — Diluted EPS (LTM, $), FY24 (LTM through Nov 3, 2024)
Source: Broadcom FY24 10-K (year ended Nov 3, 2024); Gross Profit shown is NON-GAAP (adds back $7.2B amortization of acquired developed technology in COGS) for consistency with non-GAAP EBITDA
Note: Figure from training-data recall (Jan 2026 cutoff). VERIFY against the cited filing on SEC EDGAR before publishing or trading on this output.</t>
      </text>
    </comment>
    <comment ref="B29" authorId="0" shapeId="0">
      <text>
        <t>QCOM — Share Price ($), illustrative as-of 2026-05-21
Source: Approximate close as of 2026-05-21; placeholder — replace with verified market data
Note: Figure from training-data recall (Jan 2026 cutoff). VERIFY against the cited filing on SEC EDGAR before publishing or trading on this output.</t>
      </text>
    </comment>
    <comment ref="C29" authorId="0" shapeId="0">
      <text>
        <t>QCOM — Diluted Shares Outstanding (M), per most recent 10-Q cover page
Source: Qualcomm FY24 10-K (year ended Sep 29, 2024)
Note: Figure from training-data recall (Jan 2026 cutoff). VERIFY against the cited filing on SEC EDGAR before publishing or trading on this output.</t>
      </text>
    </comment>
    <comment ref="E29" authorId="0" shapeId="0">
      <text>
        <t>QCOM — Net Debt ($M, negative = net cash) = Total Debt - Cash &amp; ST Investments, most recent b/s
Source: Qualcomm FY24 10-K (year ended Sep 29, 2024)
Note: Figure from training-data recall (Jan 2026 cutoff). VERIFY against the cited filing on SEC EDGAR before publishing or trading on this output.</t>
      </text>
    </comment>
    <comment ref="J29" authorId="0" shapeId="0">
      <text>
        <t>QCOM — Diluted EPS (LTM, $), FY24 (LTM through Sep 29, 2024)
Source: Qualcomm FY24 10-K (year ended Sep 29, 2024)
Note: Figure from training-data recall (Jan 2026 cutoff). VERIFY against the cited filing on SEC EDGAR before publishing or trading on this output.</t>
      </text>
    </comment>
    <comment ref="B30" authorId="0" shapeId="0">
      <text>
        <t>MRVL — Share Price ($), illustrative as-of 2026-05-21
Source: Approximate close as of 2026-05-21; placeholder — replace with verified market data
Note: Figure from training-data recall (Jan 2026 cutoff). VERIFY against the cited filing on SEC EDGAR before publishing or trading on this output.</t>
      </text>
    </comment>
    <comment ref="C30" authorId="0" shapeId="0">
      <text>
        <t>MRVL — Diluted Shares Outstanding (M), per most recent 10-Q cover page
Source: Marvell FY25 10-K (year ended Feb 1, 2025); EPS reflects GAAP loss
Note: Figure from training-data recall (Jan 2026 cutoff). VERIFY against the cited filing on SEC EDGAR before publishing or trading on this output.</t>
      </text>
    </comment>
    <comment ref="E30" authorId="0" shapeId="0">
      <text>
        <t>MRVL — Net Debt ($M, negative = net cash) = Total Debt - Cash &amp; ST Investments, most recent b/s
Source: Marvell FY25 10-K (year ended Feb 1, 2025); EPS reflects GAAP loss
Note: Figure from training-data recall (Jan 2026 cutoff). VERIFY against the cited filing on SEC EDGAR before publishing or trading on this output.</t>
      </text>
    </comment>
    <comment ref="J30" authorId="0" shapeId="0">
      <text>
        <t>MRVL — Diluted EPS (LTM, $), FY25 (LTM through Feb 1, 2025)
Source: Marvell FY25 10-K (year ended Feb 1, 2025); EPS reflects GAAP loss
Note: Figure from training-data recall (Jan 2026 cutoff). VERIFY against the cited filing on SEC EDGAR before publishing or trading on this output.</t>
      </text>
    </comment>
    <comment ref="B31" authorId="0" shapeId="0">
      <text>
        <t>ARM — Share Price ($), illustrative as-of 2026-05-21
Source: Approximate close as of 2026-05-21; placeholder — replace with verified market data
Note: Figure from training-data recall (Jan 2026 cutoff). VERIFY against the cited filing on SEC EDGAR before publishing or trading on this output.</t>
      </text>
    </comment>
    <comment ref="C31" authorId="0" shapeId="0">
      <text>
        <t>ARM — Diluted Shares Outstanding (M), per most recent 10-Q cover page
Source: Arm Holdings FY25 10-K (year ended Mar 31, 2025); first full FY as public company
Note: Figure from training-data recall (Jan 2026 cutoff). VERIFY against the cited filing on SEC EDGAR before publishing or trading on this output.</t>
      </text>
    </comment>
    <comment ref="E31" authorId="0" shapeId="0">
      <text>
        <t>ARM — Net Debt ($M, negative = net cash) = Total Debt - Cash &amp; ST Investments, most recent b/s
Source: Arm Holdings FY25 10-K (year ended Mar 31, 2025); first full FY as public company
Note: Figure from training-data recall (Jan 2026 cutoff). VERIFY against the cited filing on SEC EDGAR before publishing or trading on this output.</t>
      </text>
    </comment>
    <comment ref="J31" authorId="0" shapeId="0">
      <text>
        <t>ARM — Diluted EPS (LTM, $), FY25 (LTM through Mar 31, 2025)
Source: Arm Holdings FY25 10-K (year ended Mar 31, 2025); first full FY as public company
Note: Figure from training-data recall (Jan 2026 cutoff). VERIFY against the cited filing on SEC EDGAR before publishing or trading on this output.</t>
      </text>
    </comment>
    <comment ref="B32" authorId="0" shapeId="0">
      <text>
        <t>TSM — Share Price ($), illustrative as-of 2026-05-21
Source: Approximate close as of 2026-05-21; placeholder — replace with verified market data
Note: Figure from training-data recall (Jan 2026 cutoff). VERIFY against the cited filing on SEC EDGAR before publishing or trading on this output.</t>
      </text>
    </comment>
    <comment ref="C32" authorId="0" shapeId="0">
      <text>
        <t>TSM — Diluted Shares Outstanding (M), per most recent 10-Q cover page
Source: TSMC FY24 20-F (year ended Dec 31, 2024); NT$ converted to USD at avg rate; ADR-equivalent share count (1 ADR = 5 ordinary). EBITDA = OpInc + D&amp;A; NOTE: EBITDA margin &gt; GM is structural (large fab D&amp;A in COGS gets added back to EBITDA but not GP)
Note: Figure from training-data recall (Jan 2026 cutoff). VERIFY against the cited filing on SEC EDGAR before publishing or trading on this output.</t>
      </text>
    </comment>
    <comment ref="E32" authorId="0" shapeId="0">
      <text>
        <t>TSM — Net Debt ($M, negative = net cash) = Total Debt - Cash &amp; ST Investments, most recent b/s
Source: TSMC FY24 20-F (year ended Dec 31, 2024); NT$ converted to USD at avg rate; ADR-equivalent share count (1 ADR = 5 ordinary). EBITDA = OpInc + D&amp;A; NOTE: EBITDA margin &gt; GM is structural (large fab D&amp;A in COGS gets added back to EBITDA but not GP)
Note: Figure from training-data recall (Jan 2026 cutoff). VERIFY against the cited filing on SEC EDGAR before publishing or trading on this output.</t>
      </text>
    </comment>
    <comment ref="J32" authorId="0" shapeId="0">
      <text>
        <t>TSM — Diluted EPS (LTM, $), FY24 (LTM through Dec 31, 2024)
Source: TSMC FY24 20-F (year ended Dec 31, 2024); NT$ converted to USD at avg rate; ADR-equivalent share count (1 ADR = 5 ordinary). EBITDA = OpInc + D&amp;A; NOTE: EBITDA margin &gt; GM is structural (large fab D&amp;A in COGS gets added back to EBITDA but not GP)
Note: Figure from training-data recall (Jan 2026 cutoff). VERIFY against the cited filing on SEC EDGAR before publishing or trading on this output.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6" customWidth="1" min="3" max="3"/>
    <col width="18" customWidth="1" min="4" max="4"/>
    <col width="14" customWidth="1" min="5" max="5"/>
    <col width="16" customWidth="1" min="6" max="6"/>
    <col width="14" customWidth="1" min="7" max="7"/>
    <col width="14" customWidth="1" min="8" max="8"/>
    <col width="12" customWidth="1" min="9" max="9"/>
    <col width="14" customWidth="1" min="10" max="10"/>
  </cols>
  <sheetData>
    <row r="1" ht="28" customHeight="1">
      <c r="A1" s="1" t="inlineStr">
        <is>
          <t>SEMICONDUCTORS — COMPARABLE COMPANY ANALYSIS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18" customHeight="1">
      <c r="A2" s="2" t="inlineStr">
        <is>
          <t>NVIDIA (NVDA) • Advanced Micro Devices (AMD) • Intel (INTC) • Broadcom (AVGO) • Qualcomm (QCOM) • Marvell Technology (MRVL) • Arm Holdings (ARM) • Taiwan Semiconductor (TSM)</t>
        </is>
      </c>
    </row>
    <row r="3" ht="18" customHeight="1">
      <c r="A3" s="2" t="inlineStr">
        <is>
          <t>As of LTM through each company's most-recent reported quarter | All figures in USD Millions except per-share amounts and ratios</t>
        </is>
      </c>
    </row>
    <row r="5" ht="22" customHeight="1">
      <c r="A5" s="3" t="inlineStr">
        <is>
          <t>OPERATING STATISTICS &amp; FINANCIAL METRICS</t>
        </is>
      </c>
      <c r="B5" s="3" t="n"/>
      <c r="C5" s="3" t="n"/>
      <c r="D5" s="3" t="n"/>
      <c r="E5" s="3" t="n"/>
      <c r="F5" s="3" t="n"/>
      <c r="G5" s="3" t="n"/>
      <c r="H5" s="3" t="n"/>
      <c r="I5" s="3" t="n"/>
    </row>
    <row r="6" ht="30" customHeight="1">
      <c r="A6" s="4" t="inlineStr">
        <is>
          <t>Company</t>
        </is>
      </c>
      <c r="B6" s="4" t="inlineStr">
        <is>
          <t>Revenue (LTM, $M)</t>
        </is>
      </c>
      <c r="C6" s="4" t="inlineStr">
        <is>
          <t>Rev Growth (YoY)</t>
        </is>
      </c>
      <c r="D6" s="4" t="inlineStr">
        <is>
          <t>Gross Profit ($M)</t>
        </is>
      </c>
      <c r="E6" s="4" t="inlineStr">
        <is>
          <t>Gross Margin</t>
        </is>
      </c>
      <c r="F6" s="4" t="inlineStr">
        <is>
          <t>EBITDA ($M)</t>
        </is>
      </c>
      <c r="G6" s="4" t="inlineStr">
        <is>
          <t>EBITDA Margin</t>
        </is>
      </c>
      <c r="H6" s="4" t="inlineStr">
        <is>
          <t>FCF ($M)</t>
        </is>
      </c>
      <c r="I6" s="4" t="inlineStr">
        <is>
          <t>FCF Margin</t>
        </is>
      </c>
    </row>
    <row r="7" ht="20" customHeight="1">
      <c r="A7" s="5" t="inlineStr">
        <is>
          <t>NVIDIA (NVDA)</t>
        </is>
      </c>
      <c r="B7" s="6" t="n">
        <v>130497</v>
      </c>
      <c r="C7" s="7" t="n">
        <v>1.142</v>
      </c>
      <c r="D7" s="6" t="n">
        <v>97858</v>
      </c>
      <c r="E7" s="8">
        <f>IFERROR(D7/B7,"")</f>
        <v/>
      </c>
      <c r="F7" s="6" t="n">
        <v>88170</v>
      </c>
      <c r="G7" s="8">
        <f>IFERROR(F7/B7,"")</f>
        <v/>
      </c>
      <c r="H7" s="6" t="n">
        <v>60853</v>
      </c>
      <c r="I7" s="8">
        <f>IFERROR(H7/B7,"")</f>
        <v/>
      </c>
    </row>
    <row r="8" ht="20" customHeight="1">
      <c r="A8" s="5" t="inlineStr">
        <is>
          <t>Advanced Micro Devices (AMD)</t>
        </is>
      </c>
      <c r="B8" s="6" t="n">
        <v>25785</v>
      </c>
      <c r="C8" s="7" t="n">
        <v>0.14</v>
      </c>
      <c r="D8" s="6" t="n">
        <v>12725</v>
      </c>
      <c r="E8" s="8">
        <f>IFERROR(D8/B8,"")</f>
        <v/>
      </c>
      <c r="F8" s="6" t="n">
        <v>6138</v>
      </c>
      <c r="G8" s="8">
        <f>IFERROR(F8/B8,"")</f>
        <v/>
      </c>
      <c r="H8" s="6" t="n">
        <v>2418</v>
      </c>
      <c r="I8" s="8">
        <f>IFERROR(H8/B8,"")</f>
        <v/>
      </c>
    </row>
    <row r="9" ht="20" customHeight="1">
      <c r="A9" s="5" t="inlineStr">
        <is>
          <t>Intel (INTC)</t>
        </is>
      </c>
      <c r="B9" s="6" t="n">
        <v>53101</v>
      </c>
      <c r="C9" s="7" t="n">
        <v>-0.02</v>
      </c>
      <c r="D9" s="6" t="n">
        <v>17346</v>
      </c>
      <c r="E9" s="8">
        <f>IFERROR(D9/B9,"")</f>
        <v/>
      </c>
      <c r="F9" s="6" t="n">
        <v>1219</v>
      </c>
      <c r="G9" s="8">
        <f>IFERROR(F9/B9,"")</f>
        <v/>
      </c>
      <c r="H9" s="6" t="n">
        <v>-15663</v>
      </c>
      <c r="I9" s="8">
        <f>IFERROR(H9/B9,"")</f>
        <v/>
      </c>
    </row>
    <row r="10" ht="20" customHeight="1">
      <c r="A10" s="5" t="inlineStr">
        <is>
          <t>Broadcom (AVGO)</t>
        </is>
      </c>
      <c r="B10" s="6" t="n">
        <v>51574</v>
      </c>
      <c r="C10" s="7" t="n">
        <v>0.44</v>
      </c>
      <c r="D10" s="6" t="n">
        <v>38500</v>
      </c>
      <c r="E10" s="8">
        <f>IFERROR(D10/B10,"")</f>
        <v/>
      </c>
      <c r="F10" s="6" t="n">
        <v>31920</v>
      </c>
      <c r="G10" s="8">
        <f>IFERROR(F10/B10,"")</f>
        <v/>
      </c>
      <c r="H10" s="6" t="n">
        <v>19414</v>
      </c>
      <c r="I10" s="8">
        <f>IFERROR(H10/B10,"")</f>
        <v/>
      </c>
    </row>
    <row r="11" ht="20" customHeight="1">
      <c r="A11" s="5" t="inlineStr">
        <is>
          <t>Qualcomm (QCOM)</t>
        </is>
      </c>
      <c r="B11" s="6" t="n">
        <v>38962</v>
      </c>
      <c r="C11" s="7" t="n">
        <v>0.09</v>
      </c>
      <c r="D11" s="6" t="n">
        <v>21759</v>
      </c>
      <c r="E11" s="8">
        <f>IFERROR(D11/B11,"")</f>
        <v/>
      </c>
      <c r="F11" s="6" t="n">
        <v>13872</v>
      </c>
      <c r="G11" s="8">
        <f>IFERROR(F11/B11,"")</f>
        <v/>
      </c>
      <c r="H11" s="6" t="n">
        <v>11156</v>
      </c>
      <c r="I11" s="8">
        <f>IFERROR(H11/B11,"")</f>
        <v/>
      </c>
    </row>
    <row r="12" ht="20" customHeight="1">
      <c r="A12" s="5" t="inlineStr">
        <is>
          <t>Marvell Technology (MRVL)</t>
        </is>
      </c>
      <c r="B12" s="6" t="n">
        <v>5768</v>
      </c>
      <c r="C12" s="7" t="n">
        <v>0.047</v>
      </c>
      <c r="D12" s="6" t="n">
        <v>2567</v>
      </c>
      <c r="E12" s="8">
        <f>IFERROR(D12/B12,"")</f>
        <v/>
      </c>
      <c r="F12" s="6" t="n">
        <v>1634</v>
      </c>
      <c r="G12" s="8">
        <f>IFERROR(F12/B12,"")</f>
        <v/>
      </c>
      <c r="H12" s="6" t="n">
        <v>1402</v>
      </c>
      <c r="I12" s="8">
        <f>IFERROR(H12/B12,"")</f>
        <v/>
      </c>
    </row>
    <row r="13" ht="20" customHeight="1">
      <c r="A13" s="5" t="inlineStr">
        <is>
          <t>Arm Holdings (ARM)</t>
        </is>
      </c>
      <c r="B13" s="6" t="n">
        <v>4007</v>
      </c>
      <c r="C13" s="7" t="n">
        <v>0.24</v>
      </c>
      <c r="D13" s="6" t="n">
        <v>3810</v>
      </c>
      <c r="E13" s="8">
        <f>IFERROR(D13/B13,"")</f>
        <v/>
      </c>
      <c r="F13" s="6" t="n">
        <v>1520</v>
      </c>
      <c r="G13" s="8">
        <f>IFERROR(F13/B13,"")</f>
        <v/>
      </c>
      <c r="H13" s="6" t="n">
        <v>760</v>
      </c>
      <c r="I13" s="8">
        <f>IFERROR(H13/B13,"")</f>
        <v/>
      </c>
    </row>
    <row r="14" ht="20" customHeight="1">
      <c r="A14" s="5" t="inlineStr">
        <is>
          <t>Taiwan Semiconductor (TSM)</t>
        </is>
      </c>
      <c r="B14" s="6" t="n">
        <v>90007</v>
      </c>
      <c r="C14" s="7" t="n">
        <v>0.3</v>
      </c>
      <c r="D14" s="6" t="n">
        <v>50894</v>
      </c>
      <c r="E14" s="8">
        <f>IFERROR(D14/B14,"")</f>
        <v/>
      </c>
      <c r="F14" s="6" t="n">
        <v>60500</v>
      </c>
      <c r="G14" s="8">
        <f>IFERROR(F14/B14,"")</f>
        <v/>
      </c>
      <c r="H14" s="6" t="n">
        <v>34716</v>
      </c>
      <c r="I14" s="8">
        <f>IFERROR(H14/B14,"")</f>
        <v/>
      </c>
    </row>
    <row r="16" ht="20" customHeight="1">
      <c r="A16" s="9" t="inlineStr">
        <is>
          <t>Maximum</t>
        </is>
      </c>
      <c r="B16" s="10" t="n"/>
      <c r="C16" s="11">
        <f>MAX(C7:C14)</f>
        <v/>
      </c>
      <c r="D16" s="10" t="n"/>
      <c r="E16" s="11">
        <f>MAX(E7:E14)</f>
        <v/>
      </c>
      <c r="F16" s="10" t="n"/>
      <c r="G16" s="11">
        <f>MAX(G7:G14)</f>
        <v/>
      </c>
      <c r="H16" s="10" t="n"/>
      <c r="I16" s="11">
        <f>MAX(I7:I14)</f>
        <v/>
      </c>
    </row>
    <row r="17" ht="20" customHeight="1">
      <c r="A17" s="9" t="inlineStr">
        <is>
          <t>75th Percentile</t>
        </is>
      </c>
      <c r="B17" s="10" t="n"/>
      <c r="C17" s="11">
        <f>QUARTILE(C7:C14,3)</f>
        <v/>
      </c>
      <c r="D17" s="10" t="n"/>
      <c r="E17" s="11">
        <f>QUARTILE(E7:E14,3)</f>
        <v/>
      </c>
      <c r="F17" s="10" t="n"/>
      <c r="G17" s="11">
        <f>QUARTILE(G7:G14,3)</f>
        <v/>
      </c>
      <c r="H17" s="10" t="n"/>
      <c r="I17" s="11">
        <f>QUARTILE(I7:I14,3)</f>
        <v/>
      </c>
    </row>
    <row r="18" ht="20" customHeight="1">
      <c r="A18" s="9" t="inlineStr">
        <is>
          <t>Median</t>
        </is>
      </c>
      <c r="B18" s="10" t="n"/>
      <c r="C18" s="11">
        <f>MEDIAN(C7:C14)</f>
        <v/>
      </c>
      <c r="D18" s="10" t="n"/>
      <c r="E18" s="11">
        <f>MEDIAN(E7:E14)</f>
        <v/>
      </c>
      <c r="F18" s="10" t="n"/>
      <c r="G18" s="11">
        <f>MEDIAN(G7:G14)</f>
        <v/>
      </c>
      <c r="H18" s="10" t="n"/>
      <c r="I18" s="11">
        <f>MEDIAN(I7:I14)</f>
        <v/>
      </c>
    </row>
    <row r="19" ht="20" customHeight="1">
      <c r="A19" s="9" t="inlineStr">
        <is>
          <t>25th Percentile</t>
        </is>
      </c>
      <c r="B19" s="10" t="n"/>
      <c r="C19" s="11">
        <f>QUARTILE(C7:C14,1)</f>
        <v/>
      </c>
      <c r="D19" s="10" t="n"/>
      <c r="E19" s="11">
        <f>QUARTILE(E7:E14,1)</f>
        <v/>
      </c>
      <c r="F19" s="10" t="n"/>
      <c r="G19" s="11">
        <f>QUARTILE(G7:G14,1)</f>
        <v/>
      </c>
      <c r="H19" s="10" t="n"/>
      <c r="I19" s="11">
        <f>QUARTILE(I7:I14,1)</f>
        <v/>
      </c>
    </row>
    <row r="20" ht="20" customHeight="1">
      <c r="A20" s="9" t="inlineStr">
        <is>
          <t>Minimum</t>
        </is>
      </c>
      <c r="B20" s="10" t="n"/>
      <c r="C20" s="11">
        <f>MIN(C7:C14)</f>
        <v/>
      </c>
      <c r="D20" s="10" t="n"/>
      <c r="E20" s="11">
        <f>MIN(E7:E14)</f>
        <v/>
      </c>
      <c r="F20" s="10" t="n"/>
      <c r="G20" s="11">
        <f>MIN(G7:G14)</f>
        <v/>
      </c>
      <c r="H20" s="10" t="n"/>
      <c r="I20" s="11">
        <f>MIN(I7:I14)</f>
        <v/>
      </c>
    </row>
    <row r="23" ht="22" customHeight="1">
      <c r="A23" s="3" t="inlineStr">
        <is>
          <t>VALUATION MULTIPLES &amp; INVESTMENT METRICS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  <row r="24" ht="30" customHeight="1">
      <c r="A24" s="4" t="inlineStr">
        <is>
          <t>Company</t>
        </is>
      </c>
      <c r="B24" s="4" t="inlineStr">
        <is>
          <t>Share Price ($)</t>
        </is>
      </c>
      <c r="C24" s="4" t="inlineStr">
        <is>
          <t>Diluted Shares (M)</t>
        </is>
      </c>
      <c r="D24" s="4" t="inlineStr">
        <is>
          <t>Market Cap ($M)</t>
        </is>
      </c>
      <c r="E24" s="4" t="inlineStr">
        <is>
          <t>Net Debt ($M)</t>
        </is>
      </c>
      <c r="F24" s="4" t="inlineStr">
        <is>
          <t>Enterprise Value ($M)</t>
        </is>
      </c>
      <c r="G24" s="4" t="inlineStr">
        <is>
          <t>EV / Revenue</t>
        </is>
      </c>
      <c r="H24" s="4" t="inlineStr">
        <is>
          <t>EV / EBITDA</t>
        </is>
      </c>
      <c r="I24" s="4" t="inlineStr">
        <is>
          <t>P / E (LTM)</t>
        </is>
      </c>
      <c r="J24" s="4" t="inlineStr">
        <is>
          <t>EPS (LTM, $)</t>
        </is>
      </c>
    </row>
    <row r="25" ht="20" customHeight="1">
      <c r="A25" s="5" t="inlineStr">
        <is>
          <t>NVIDIA (NVDA)</t>
        </is>
      </c>
      <c r="B25" s="12" t="n">
        <v>140</v>
      </c>
      <c r="C25" s="6" t="n">
        <v>24900</v>
      </c>
      <c r="D25" s="13">
        <f>B25*C25</f>
        <v/>
      </c>
      <c r="E25" s="14" t="n">
        <v>-38000</v>
      </c>
      <c r="F25" s="13">
        <f>D25+E25</f>
        <v/>
      </c>
      <c r="G25" s="15">
        <f>IFERROR(F25/B7,"")</f>
        <v/>
      </c>
      <c r="H25" s="15">
        <f>IFERROR(F25/F7,"")</f>
        <v/>
      </c>
      <c r="I25" s="15">
        <f>IFERROR(B25/J25,"")</f>
        <v/>
      </c>
      <c r="J25" s="12" t="n">
        <v>2.94</v>
      </c>
    </row>
    <row r="26" ht="20" customHeight="1">
      <c r="A26" s="5" t="inlineStr">
        <is>
          <t>Advanced Micro Devices (AMD)</t>
        </is>
      </c>
      <c r="B26" s="12" t="n">
        <v>170</v>
      </c>
      <c r="C26" s="6" t="n">
        <v>1620</v>
      </c>
      <c r="D26" s="13">
        <f>B26*C26</f>
        <v/>
      </c>
      <c r="E26" s="14" t="n">
        <v>-3800</v>
      </c>
      <c r="F26" s="13">
        <f>D26+E26</f>
        <v/>
      </c>
      <c r="G26" s="15">
        <f>IFERROR(F26/B8,"")</f>
        <v/>
      </c>
      <c r="H26" s="15">
        <f>IFERROR(F26/F8,"")</f>
        <v/>
      </c>
      <c r="I26" s="15">
        <f>IFERROR(B26/J26,"")</f>
        <v/>
      </c>
      <c r="J26" s="12" t="n">
        <v>0.99</v>
      </c>
    </row>
    <row r="27" ht="20" customHeight="1">
      <c r="A27" s="5" t="inlineStr">
        <is>
          <t>Intel (INTC)</t>
        </is>
      </c>
      <c r="B27" s="12" t="n">
        <v>22</v>
      </c>
      <c r="C27" s="6" t="n">
        <v>4320</v>
      </c>
      <c r="D27" s="13">
        <f>B27*C27</f>
        <v/>
      </c>
      <c r="E27" s="14" t="n">
        <v>24000</v>
      </c>
      <c r="F27" s="13">
        <f>D27+E27</f>
        <v/>
      </c>
      <c r="G27" s="15">
        <f>IFERROR(F27/B9,"")</f>
        <v/>
      </c>
      <c r="H27" s="15">
        <f>IFERROR(F27/F9,"")</f>
        <v/>
      </c>
      <c r="I27" s="15">
        <f>IFERROR(B27/J27,"")</f>
        <v/>
      </c>
      <c r="J27" s="12" t="n">
        <v>-4.38</v>
      </c>
    </row>
    <row r="28" ht="20" customHeight="1">
      <c r="A28" s="5" t="inlineStr">
        <is>
          <t>Broadcom (AVGO)</t>
        </is>
      </c>
      <c r="B28" s="12" t="n">
        <v>200</v>
      </c>
      <c r="C28" s="6" t="n">
        <v>4710</v>
      </c>
      <c r="D28" s="13">
        <f>B28*C28</f>
        <v/>
      </c>
      <c r="E28" s="14" t="n">
        <v>58000</v>
      </c>
      <c r="F28" s="13">
        <f>D28+E28</f>
        <v/>
      </c>
      <c r="G28" s="15">
        <f>IFERROR(F28/B10,"")</f>
        <v/>
      </c>
      <c r="H28" s="15">
        <f>IFERROR(F28/F10,"")</f>
        <v/>
      </c>
      <c r="I28" s="15">
        <f>IFERROR(B28/J28,"")</f>
        <v/>
      </c>
      <c r="J28" s="12" t="n">
        <v>1.62</v>
      </c>
    </row>
    <row r="29" ht="20" customHeight="1">
      <c r="A29" s="5" t="inlineStr">
        <is>
          <t>Qualcomm (QCOM)</t>
        </is>
      </c>
      <c r="B29" s="12" t="n">
        <v>160</v>
      </c>
      <c r="C29" s="6" t="n">
        <v>1120</v>
      </c>
      <c r="D29" s="13">
        <f>B29*C29</f>
        <v/>
      </c>
      <c r="E29" s="14" t="n">
        <v>-5000</v>
      </c>
      <c r="F29" s="13">
        <f>D29+E29</f>
        <v/>
      </c>
      <c r="G29" s="15">
        <f>IFERROR(F29/B11,"")</f>
        <v/>
      </c>
      <c r="H29" s="15">
        <f>IFERROR(F29/F11,"")</f>
        <v/>
      </c>
      <c r="I29" s="15">
        <f>IFERROR(B29/J29,"")</f>
        <v/>
      </c>
      <c r="J29" s="12" t="n">
        <v>8.970000000000001</v>
      </c>
    </row>
    <row r="30" ht="20" customHeight="1">
      <c r="A30" s="5" t="inlineStr">
        <is>
          <t>Marvell Technology (MRVL)</t>
        </is>
      </c>
      <c r="B30" s="12" t="n">
        <v>70</v>
      </c>
      <c r="C30" s="6" t="n">
        <v>870</v>
      </c>
      <c r="D30" s="13">
        <f>B30*C30</f>
        <v/>
      </c>
      <c r="E30" s="14" t="n">
        <v>2500</v>
      </c>
      <c r="F30" s="13">
        <f>D30+E30</f>
        <v/>
      </c>
      <c r="G30" s="15">
        <f>IFERROR(F30/B12,"")</f>
        <v/>
      </c>
      <c r="H30" s="15">
        <f>IFERROR(F30/F12,"")</f>
        <v/>
      </c>
      <c r="I30" s="15">
        <f>IFERROR(B30/J30,"")</f>
        <v/>
      </c>
      <c r="J30" s="12" t="n">
        <v>-1.02</v>
      </c>
    </row>
    <row r="31" ht="20" customHeight="1">
      <c r="A31" s="5" t="inlineStr">
        <is>
          <t>Arm Holdings (ARM)</t>
        </is>
      </c>
      <c r="B31" s="12" t="n">
        <v>135</v>
      </c>
      <c r="C31" s="6" t="n">
        <v>1065</v>
      </c>
      <c r="D31" s="13">
        <f>B31*C31</f>
        <v/>
      </c>
      <c r="E31" s="14" t="n">
        <v>-2400</v>
      </c>
      <c r="F31" s="13">
        <f>D31+E31</f>
        <v/>
      </c>
      <c r="G31" s="15">
        <f>IFERROR(F31/B13,"")</f>
        <v/>
      </c>
      <c r="H31" s="15">
        <f>IFERROR(F31/F13,"")</f>
        <v/>
      </c>
      <c r="I31" s="15">
        <f>IFERROR(B31/J31,"")</f>
        <v/>
      </c>
      <c r="J31" s="12" t="n">
        <v>0.3</v>
      </c>
    </row>
    <row r="32" ht="20" customHeight="1">
      <c r="A32" s="5" t="inlineStr">
        <is>
          <t>Taiwan Semiconductor (TSM)</t>
        </is>
      </c>
      <c r="B32" s="12" t="n">
        <v>185</v>
      </c>
      <c r="C32" s="6" t="n">
        <v>5190</v>
      </c>
      <c r="D32" s="13">
        <f>B32*C32</f>
        <v/>
      </c>
      <c r="E32" s="14" t="n">
        <v>-50000</v>
      </c>
      <c r="F32" s="13">
        <f>D32+E32</f>
        <v/>
      </c>
      <c r="G32" s="15">
        <f>IFERROR(F32/B14,"")</f>
        <v/>
      </c>
      <c r="H32" s="15">
        <f>IFERROR(F32/F14,"")</f>
        <v/>
      </c>
      <c r="I32" s="15">
        <f>IFERROR(B32/J32,"")</f>
        <v/>
      </c>
      <c r="J32" s="12" t="n">
        <v>7.21</v>
      </c>
    </row>
    <row r="34" ht="20" customHeight="1">
      <c r="A34" s="9" t="inlineStr">
        <is>
          <t>Maximum</t>
        </is>
      </c>
      <c r="B34" s="10" t="n"/>
      <c r="C34" s="10" t="n"/>
      <c r="D34" s="10" t="n"/>
      <c r="E34" s="10" t="n"/>
      <c r="F34" s="10" t="n"/>
      <c r="G34" s="16">
        <f>MAX(G25:G32)</f>
        <v/>
      </c>
      <c r="H34" s="16">
        <f>MAX(H25:H32)</f>
        <v/>
      </c>
      <c r="I34" s="16">
        <f>MAX(I25:I32)</f>
        <v/>
      </c>
      <c r="J34" s="10" t="n"/>
    </row>
    <row r="35" ht="20" customHeight="1">
      <c r="A35" s="9" t="inlineStr">
        <is>
          <t>75th Percentile</t>
        </is>
      </c>
      <c r="B35" s="10" t="n"/>
      <c r="C35" s="10" t="n"/>
      <c r="D35" s="10" t="n"/>
      <c r="E35" s="10" t="n"/>
      <c r="F35" s="10" t="n"/>
      <c r="G35" s="16">
        <f>QUARTILE(G25:G32,3)</f>
        <v/>
      </c>
      <c r="H35" s="16">
        <f>QUARTILE(H25:H32,3)</f>
        <v/>
      </c>
      <c r="I35" s="16">
        <f>QUARTILE(I25:I32,3)</f>
        <v/>
      </c>
      <c r="J35" s="10" t="n"/>
    </row>
    <row r="36" ht="20" customHeight="1">
      <c r="A36" s="9" t="inlineStr">
        <is>
          <t>Median</t>
        </is>
      </c>
      <c r="B36" s="10" t="n"/>
      <c r="C36" s="10" t="n"/>
      <c r="D36" s="10" t="n"/>
      <c r="E36" s="10" t="n"/>
      <c r="F36" s="10" t="n"/>
      <c r="G36" s="16">
        <f>MEDIAN(G25:G32)</f>
        <v/>
      </c>
      <c r="H36" s="16">
        <f>MEDIAN(H25:H32)</f>
        <v/>
      </c>
      <c r="I36" s="16">
        <f>MEDIAN(I25:I32)</f>
        <v/>
      </c>
      <c r="J36" s="10" t="n"/>
    </row>
    <row r="37" ht="20" customHeight="1">
      <c r="A37" s="9" t="inlineStr">
        <is>
          <t>25th Percentile</t>
        </is>
      </c>
      <c r="B37" s="10" t="n"/>
      <c r="C37" s="10" t="n"/>
      <c r="D37" s="10" t="n"/>
      <c r="E37" s="10" t="n"/>
      <c r="F37" s="10" t="n"/>
      <c r="G37" s="16">
        <f>QUARTILE(G25:G32,1)</f>
        <v/>
      </c>
      <c r="H37" s="16">
        <f>QUARTILE(H25:H32,1)</f>
        <v/>
      </c>
      <c r="I37" s="16">
        <f>QUARTILE(I25:I32,1)</f>
        <v/>
      </c>
      <c r="J37" s="10" t="n"/>
    </row>
    <row r="38" ht="20" customHeight="1">
      <c r="A38" s="9" t="inlineStr">
        <is>
          <t>Minimum</t>
        </is>
      </c>
      <c r="B38" s="10" t="n"/>
      <c r="C38" s="10" t="n"/>
      <c r="D38" s="10" t="n"/>
      <c r="E38" s="10" t="n"/>
      <c r="F38" s="10" t="n"/>
      <c r="G38" s="16">
        <f>MIN(G25:G32)</f>
        <v/>
      </c>
      <c r="H38" s="16">
        <f>MIN(H25:H32)</f>
        <v/>
      </c>
      <c r="I38" s="16">
        <f>MIN(I25:I32)</f>
        <v/>
      </c>
      <c r="J38" s="10" t="n"/>
    </row>
    <row r="41" ht="22" customHeight="1">
      <c r="A41" s="3" t="inlineStr">
        <is>
          <t>NOTES &amp; METHODOLOGY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</row>
    <row r="42" ht="40" customHeight="1">
      <c r="A42" s="17" t="inlineStr">
        <is>
          <t>⚠ VERIFY BEFORE USE</t>
        </is>
      </c>
      <c r="B42" s="18" t="inlineStr">
        <is>
          <t>All input figures (blue cells) were populated from training-data recall (Jan 2026 cutoff) citing each company's most recent SEC filing. Every blue cell has a comment with the source filing. VERIFY each figure against the actual EDGAR filing before publishing, trading, or presenting. Share prices are illustrative placeholders as of 2026-05-21 and MUST be refreshed against live market data.</t>
        </is>
      </c>
    </row>
    <row r="44" ht="40" customHeight="1">
      <c r="A44" s="17" t="inlineStr">
        <is>
          <t>Data sources</t>
        </is>
      </c>
      <c r="B44" s="18" t="inlineStr">
        <is>
          <t>Per-company 10-K filings (TSM uses 20-F as foreign filer). NVDA FY25, AMD FY24, INTC FY24, AVGO FY24 (post-VMware close), QCOM FY24, MRVL FY25, ARM FY25 (first full FY public), TSM FY24. Each input cell carries a filing-specific citation in its comment.</t>
        </is>
      </c>
    </row>
    <row r="46" ht="40" customHeight="1">
      <c r="A46" s="17" t="inlineStr">
        <is>
          <t>Reporting periods (MIXED)</t>
        </is>
      </c>
      <c r="B46" s="18" t="inlineStr">
        <is>
          <t>Fiscal year-ends differ: NVDA Jan 2025, MRVL Feb 2025, ARM Mar 2025, TSM/AMD/INTC Dec 2024, AVGO Nov 2024, QCOM Sep 2024. This mixes period-ends by up to 7 months — meaningful in a fast-moving cycle (AI accelerator demand surged H2 2024 - H1 2025). Reader should weight NVDA/MRVL/ARM figures as more current and QCOM/AVGO as relatively older.</t>
        </is>
      </c>
    </row>
    <row r="48" ht="40" customHeight="1">
      <c r="A48" s="17" t="inlineStr">
        <is>
          <t>EBITDA definition</t>
        </is>
      </c>
      <c r="B48" s="18" t="inlineStr">
        <is>
          <t>Adjusted (non-GAAP) EBITDA per each company's investor presentation reconciliation. Adds back stock-based comp, restructuring, and acquisition-related charges. Definitions are NOT uniform across companies — AVGO's reflects significant VMware purchase-accounting amortization addbacks; AVGO Gross Profit also shown on a non-GAAP basis for consistency. FOR TSM (FOUNDRY): Adjusted EBITDA margin exceeds GAAP Gross Margin because large fab D&amp;A flows through COGS but gets added back into EBITDA — this is structural to the foundry model, not a data error. Same effect smaller for INTC (IDM).</t>
        </is>
      </c>
    </row>
    <row r="50" ht="40" customHeight="1">
      <c r="A50" s="17" t="inlineStr">
        <is>
          <t>Enterprise Value</t>
        </is>
      </c>
      <c r="B50" s="18" t="inlineStr">
        <is>
          <t>EV = Market Cap + Total Debt - Cash &amp; ST Investments. Net Debt column shows negative values in parentheses for net-cash companies (NVDA, AMD, QCOM, ARM, TSM). INTC and AVGO carry meaningful net debt; AVGO's reflects VMware financing.</t>
        </is>
      </c>
    </row>
    <row r="52" ht="40" customHeight="1">
      <c r="A52" s="17" t="inlineStr">
        <is>
          <t>Market data caveat</t>
        </is>
      </c>
      <c r="B52" s="18" t="inlineStr">
        <is>
          <t>Share prices in the Valuation block are illustrative placeholders (approximate close ~May 2026) and were NOT refreshed from a live source. REPLACE with verified pricing before relying on the multiples. Diluted share counts are from each company's most recent 10-Q cover page; NVDA and AVGO reflect their 2024 10:1 splits.</t>
        </is>
      </c>
    </row>
    <row r="54" ht="40" customHeight="1">
      <c r="A54" s="17" t="inlineStr">
        <is>
          <t>Comparability caveats</t>
        </is>
      </c>
      <c r="B54" s="18" t="inlineStr">
        <is>
          <t>Business-model heterogeneity is large: NVDA/AMD/AVGO are fabless designers; INTC is an integrated device manufacturer (IDM); TSM is a pure-play foundry; ARM is an IP-licensing model. Margin profiles will differ materially — ARM's ~95% gross margin reflects the IP-licensing model, not operational excellence relative to manufacturers. Weight peer-set median accordingly.</t>
        </is>
      </c>
    </row>
    <row r="56" ht="40" customHeight="1">
      <c r="A56" s="17" t="inlineStr">
        <is>
          <t>Color convention</t>
        </is>
      </c>
      <c r="B56" s="18" t="inlineStr">
        <is>
          <t>Blue text = hardcoded input from a filing. Black text = formula. Light-grey rows = statistics (Max / 75th / Median / 25th / Min). Hover over any blue cell to see its source citation.</t>
        </is>
      </c>
    </row>
    <row r="58" ht="40" customHeight="1">
      <c r="A58" s="17" t="inlineStr">
        <is>
          <t>Central question</t>
        </is>
      </c>
      <c r="B58" s="18" t="inlineStr">
        <is>
          <t>Is NVDA fairly valued relative to its semiconductor peer set on EV/Revenue, EV/EBITDA, and P/E, given its growth and margin profile? Key tension: NVDA trades at substantially higher multiples than peers — justified by ~114% YoY growth and 67%+ EBITDA margins, but creates valuation asymmetry if AI capex slows.</t>
        </is>
      </c>
    </row>
  </sheetData>
  <mergeCells count="15">
    <mergeCell ref="A1:J1"/>
    <mergeCell ref="A23:J23"/>
    <mergeCell ref="A5:I5"/>
    <mergeCell ref="B42:J42"/>
    <mergeCell ref="B46:J46"/>
    <mergeCell ref="B54:J54"/>
    <mergeCell ref="A3:J3"/>
    <mergeCell ref="B50:J50"/>
    <mergeCell ref="B56:J56"/>
    <mergeCell ref="A2:J2"/>
    <mergeCell ref="B58:J58"/>
    <mergeCell ref="B44:J44"/>
    <mergeCell ref="B52:J52"/>
    <mergeCell ref="A41:J41"/>
    <mergeCell ref="B48:J48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2026-05-21T19:35:05Z</dcterms:created>
  <dcterms:modified xsi:type="dcterms:W3CDTF">2026-05-21T19:35:05Z</dcterms:modified>
</cp:coreProperties>
</file>