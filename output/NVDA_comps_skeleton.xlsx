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$#,##0.00"/>
    <numFmt numFmtId="167" formatCode="#,##0;(#,##0)"/>
  </numFmts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000000"/>
      <sz val="10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70C0"/>
      <sz val="11"/>
    </font>
    <font>
      <name val="Times New Roman"/>
      <b val="1"/>
      <i val="1"/>
      <color rgb="00000000"/>
      <sz val="11"/>
    </font>
    <font>
      <name val="Times New Roman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Skeleton</author>
  </authors>
  <commentList>
    <comment ref="B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1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1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1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1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1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1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1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1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1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1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1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1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1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1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1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13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13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13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13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13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14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14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D14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F14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H14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25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25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25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25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26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26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26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26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2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2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2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27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2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2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2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28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2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2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2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29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3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3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3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30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3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3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3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31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B3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C3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E3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  <comment ref="J32" authorId="0" shapeId="0">
      <text>
        <t>INPUT CELL — populate with raw figure from the company's most recent 10-K/10-Q. Replace this comment with: (1) exact source citation (e.g. 'NVDA FY26 10-K p.52, line item Total Revenue') and (2) hyperlink to the SEC EDGAR filing.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SEMICONDUCTORS — COMPARABLE COMPANY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2" t="inlineStr">
        <is>
          <t>NVIDIA (NVDA) • Advanced Micro Devices (AMD) • Intel (INTC) • Broadcom (AVGO) • Qualcomm (QCOM) • Marvell Technology (MRVL) • Arm Holdings (ARM) • Taiwan Semiconductor (TSM)</t>
        </is>
      </c>
    </row>
    <row r="3" ht="18" customHeight="1">
      <c r="A3" s="2" t="inlineStr">
        <is>
          <t>As of LTM through each company's most-recent reported quarter | All figures in USD Millions except per-share amounts and ratios</t>
        </is>
      </c>
    </row>
    <row r="5" ht="22" customHeight="1">
      <c r="A5" s="3" t="inlineStr">
        <is>
          <t>OPERATING STATISTICS &amp; FINANCIAL METRICS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30" customHeight="1">
      <c r="A6" s="4" t="inlineStr">
        <is>
          <t>Company</t>
        </is>
      </c>
      <c r="B6" s="4" t="inlineStr">
        <is>
          <t>Revenue (LTM, $M)</t>
        </is>
      </c>
      <c r="C6" s="4" t="inlineStr">
        <is>
          <t>Rev Growth (YoY)</t>
        </is>
      </c>
      <c r="D6" s="4" t="inlineStr">
        <is>
          <t>Gross Profit ($M)</t>
        </is>
      </c>
      <c r="E6" s="4" t="inlineStr">
        <is>
          <t>Gross Margin</t>
        </is>
      </c>
      <c r="F6" s="4" t="inlineStr">
        <is>
          <t>EBITDA ($M)</t>
        </is>
      </c>
      <c r="G6" s="4" t="inlineStr">
        <is>
          <t>EBITDA Margin</t>
        </is>
      </c>
      <c r="H6" s="4" t="inlineStr">
        <is>
          <t>FCF ($M)</t>
        </is>
      </c>
      <c r="I6" s="4" t="inlineStr">
        <is>
          <t>FCF Margin</t>
        </is>
      </c>
    </row>
    <row r="7" ht="20" customHeight="1">
      <c r="A7" s="5" t="inlineStr">
        <is>
          <t>NVIDIA (NVDA)</t>
        </is>
      </c>
      <c r="B7" s="6" t="n"/>
      <c r="C7" s="7" t="n"/>
      <c r="D7" s="6" t="n"/>
      <c r="E7" s="8">
        <f>IFERROR(D7/B7,"")</f>
        <v/>
      </c>
      <c r="F7" s="6" t="n"/>
      <c r="G7" s="8">
        <f>IFERROR(F7/B7,"")</f>
        <v/>
      </c>
      <c r="H7" s="6" t="n"/>
      <c r="I7" s="8">
        <f>IFERROR(H7/B7,"")</f>
        <v/>
      </c>
    </row>
    <row r="8" ht="20" customHeight="1">
      <c r="A8" s="5" t="inlineStr">
        <is>
          <t>Advanced Micro Devices (AMD)</t>
        </is>
      </c>
      <c r="B8" s="6" t="n"/>
      <c r="C8" s="7" t="n"/>
      <c r="D8" s="6" t="n"/>
      <c r="E8" s="8">
        <f>IFERROR(D8/B8,"")</f>
        <v/>
      </c>
      <c r="F8" s="6" t="n"/>
      <c r="G8" s="8">
        <f>IFERROR(F8/B8,"")</f>
        <v/>
      </c>
      <c r="H8" s="6" t="n"/>
      <c r="I8" s="8">
        <f>IFERROR(H8/B8,"")</f>
        <v/>
      </c>
    </row>
    <row r="9" ht="20" customHeight="1">
      <c r="A9" s="5" t="inlineStr">
        <is>
          <t>Intel (INTC)</t>
        </is>
      </c>
      <c r="B9" s="6" t="n"/>
      <c r="C9" s="7" t="n"/>
      <c r="D9" s="6" t="n"/>
      <c r="E9" s="8">
        <f>IFERROR(D9/B9,"")</f>
        <v/>
      </c>
      <c r="F9" s="6" t="n"/>
      <c r="G9" s="8">
        <f>IFERROR(F9/B9,"")</f>
        <v/>
      </c>
      <c r="H9" s="6" t="n"/>
      <c r="I9" s="8">
        <f>IFERROR(H9/B9,"")</f>
        <v/>
      </c>
    </row>
    <row r="10" ht="20" customHeight="1">
      <c r="A10" s="5" t="inlineStr">
        <is>
          <t>Broadcom (AVGO)</t>
        </is>
      </c>
      <c r="B10" s="6" t="n"/>
      <c r="C10" s="7" t="n"/>
      <c r="D10" s="6" t="n"/>
      <c r="E10" s="8">
        <f>IFERROR(D10/B10,"")</f>
        <v/>
      </c>
      <c r="F10" s="6" t="n"/>
      <c r="G10" s="8">
        <f>IFERROR(F10/B10,"")</f>
        <v/>
      </c>
      <c r="H10" s="6" t="n"/>
      <c r="I10" s="8">
        <f>IFERROR(H10/B10,"")</f>
        <v/>
      </c>
    </row>
    <row r="11" ht="20" customHeight="1">
      <c r="A11" s="5" t="inlineStr">
        <is>
          <t>Qualcomm (QCOM)</t>
        </is>
      </c>
      <c r="B11" s="6" t="n"/>
      <c r="C11" s="7" t="n"/>
      <c r="D11" s="6" t="n"/>
      <c r="E11" s="8">
        <f>IFERROR(D11/B11,"")</f>
        <v/>
      </c>
      <c r="F11" s="6" t="n"/>
      <c r="G11" s="8">
        <f>IFERROR(F11/B11,"")</f>
        <v/>
      </c>
      <c r="H11" s="6" t="n"/>
      <c r="I11" s="8">
        <f>IFERROR(H11/B11,"")</f>
        <v/>
      </c>
    </row>
    <row r="12" ht="20" customHeight="1">
      <c r="A12" s="5" t="inlineStr">
        <is>
          <t>Marvell Technology (MRVL)</t>
        </is>
      </c>
      <c r="B12" s="6" t="n"/>
      <c r="C12" s="7" t="n"/>
      <c r="D12" s="6" t="n"/>
      <c r="E12" s="8">
        <f>IFERROR(D12/B12,"")</f>
        <v/>
      </c>
      <c r="F12" s="6" t="n"/>
      <c r="G12" s="8">
        <f>IFERROR(F12/B12,"")</f>
        <v/>
      </c>
      <c r="H12" s="6" t="n"/>
      <c r="I12" s="8">
        <f>IFERROR(H12/B12,"")</f>
        <v/>
      </c>
    </row>
    <row r="13" ht="20" customHeight="1">
      <c r="A13" s="5" t="inlineStr">
        <is>
          <t>Arm Holdings (ARM)</t>
        </is>
      </c>
      <c r="B13" s="6" t="n"/>
      <c r="C13" s="7" t="n"/>
      <c r="D13" s="6" t="n"/>
      <c r="E13" s="8">
        <f>IFERROR(D13/B13,"")</f>
        <v/>
      </c>
      <c r="F13" s="6" t="n"/>
      <c r="G13" s="8">
        <f>IFERROR(F13/B13,"")</f>
        <v/>
      </c>
      <c r="H13" s="6" t="n"/>
      <c r="I13" s="8">
        <f>IFERROR(H13/B13,"")</f>
        <v/>
      </c>
    </row>
    <row r="14" ht="20" customHeight="1">
      <c r="A14" s="5" t="inlineStr">
        <is>
          <t>Taiwan Semiconductor (TSM)</t>
        </is>
      </c>
      <c r="B14" s="6" t="n"/>
      <c r="C14" s="7" t="n"/>
      <c r="D14" s="6" t="n"/>
      <c r="E14" s="8">
        <f>IFERROR(D14/B14,"")</f>
        <v/>
      </c>
      <c r="F14" s="6" t="n"/>
      <c r="G14" s="8">
        <f>IFERROR(F14/B14,"")</f>
        <v/>
      </c>
      <c r="H14" s="6" t="n"/>
      <c r="I14" s="8">
        <f>IFERROR(H14/B14,"")</f>
        <v/>
      </c>
    </row>
    <row r="16" ht="20" customHeight="1">
      <c r="A16" s="9" t="inlineStr">
        <is>
          <t>Maximum</t>
        </is>
      </c>
      <c r="B16" s="10" t="n"/>
      <c r="C16" s="11">
        <f>MAX(C7:C14)</f>
        <v/>
      </c>
      <c r="D16" s="10" t="n"/>
      <c r="E16" s="11">
        <f>MAX(E7:E14)</f>
        <v/>
      </c>
      <c r="F16" s="10" t="n"/>
      <c r="G16" s="11">
        <f>MAX(G7:G14)</f>
        <v/>
      </c>
      <c r="H16" s="10" t="n"/>
      <c r="I16" s="11">
        <f>MAX(I7:I14)</f>
        <v/>
      </c>
    </row>
    <row r="17" ht="20" customHeight="1">
      <c r="A17" s="9" t="inlineStr">
        <is>
          <t>75th Percentile</t>
        </is>
      </c>
      <c r="B17" s="10" t="n"/>
      <c r="C17" s="11">
        <f>QUARTILE(C7:C14,3)</f>
        <v/>
      </c>
      <c r="D17" s="10" t="n"/>
      <c r="E17" s="11">
        <f>QUARTILE(E7:E14,3)</f>
        <v/>
      </c>
      <c r="F17" s="10" t="n"/>
      <c r="G17" s="11">
        <f>QUARTILE(G7:G14,3)</f>
        <v/>
      </c>
      <c r="H17" s="10" t="n"/>
      <c r="I17" s="11">
        <f>QUARTILE(I7:I14,3)</f>
        <v/>
      </c>
    </row>
    <row r="18" ht="20" customHeight="1">
      <c r="A18" s="9" t="inlineStr">
        <is>
          <t>Median</t>
        </is>
      </c>
      <c r="B18" s="10" t="n"/>
      <c r="C18" s="11">
        <f>MEDIAN(C7:C14)</f>
        <v/>
      </c>
      <c r="D18" s="10" t="n"/>
      <c r="E18" s="11">
        <f>MEDIAN(E7:E14)</f>
        <v/>
      </c>
      <c r="F18" s="10" t="n"/>
      <c r="G18" s="11">
        <f>MEDIAN(G7:G14)</f>
        <v/>
      </c>
      <c r="H18" s="10" t="n"/>
      <c r="I18" s="11">
        <f>MEDIAN(I7:I14)</f>
        <v/>
      </c>
    </row>
    <row r="19" ht="20" customHeight="1">
      <c r="A19" s="9" t="inlineStr">
        <is>
          <t>25th Percentile</t>
        </is>
      </c>
      <c r="B19" s="10" t="n"/>
      <c r="C19" s="11">
        <f>QUARTILE(C7:C14,1)</f>
        <v/>
      </c>
      <c r="D19" s="10" t="n"/>
      <c r="E19" s="11">
        <f>QUARTILE(E7:E14,1)</f>
        <v/>
      </c>
      <c r="F19" s="10" t="n"/>
      <c r="G19" s="11">
        <f>QUARTILE(G7:G14,1)</f>
        <v/>
      </c>
      <c r="H19" s="10" t="n"/>
      <c r="I19" s="11">
        <f>QUARTILE(I7:I14,1)</f>
        <v/>
      </c>
    </row>
    <row r="20" ht="20" customHeight="1">
      <c r="A20" s="9" t="inlineStr">
        <is>
          <t>Minimum</t>
        </is>
      </c>
      <c r="B20" s="10" t="n"/>
      <c r="C20" s="11">
        <f>MIN(C7:C14)</f>
        <v/>
      </c>
      <c r="D20" s="10" t="n"/>
      <c r="E20" s="11">
        <f>MIN(E7:E14)</f>
        <v/>
      </c>
      <c r="F20" s="10" t="n"/>
      <c r="G20" s="11">
        <f>MIN(G7:G14)</f>
        <v/>
      </c>
      <c r="H20" s="10" t="n"/>
      <c r="I20" s="11">
        <f>MIN(I7:I14)</f>
        <v/>
      </c>
    </row>
    <row r="23" ht="22" customHeight="1">
      <c r="A23" s="3" t="inlineStr">
        <is>
          <t>VALUATION MULTIPLES &amp; INVESTMENT METRICS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30" customHeight="1">
      <c r="A24" s="4" t="inlineStr">
        <is>
          <t>Company</t>
        </is>
      </c>
      <c r="B24" s="4" t="inlineStr">
        <is>
          <t>Share Price ($)</t>
        </is>
      </c>
      <c r="C24" s="4" t="inlineStr">
        <is>
          <t>Diluted Shares (M)</t>
        </is>
      </c>
      <c r="D24" s="4" t="inlineStr">
        <is>
          <t>Market Cap ($M)</t>
        </is>
      </c>
      <c r="E24" s="4" t="inlineStr">
        <is>
          <t>Net Debt ($M)</t>
        </is>
      </c>
      <c r="F24" s="4" t="inlineStr">
        <is>
          <t>Enterprise Value ($M)</t>
        </is>
      </c>
      <c r="G24" s="4" t="inlineStr">
        <is>
          <t>EV / Revenue</t>
        </is>
      </c>
      <c r="H24" s="4" t="inlineStr">
        <is>
          <t>EV / EBITDA</t>
        </is>
      </c>
      <c r="I24" s="4" t="inlineStr">
        <is>
          <t>P / E (LTM)</t>
        </is>
      </c>
      <c r="J24" s="4" t="inlineStr">
        <is>
          <t>EPS (LTM, $)</t>
        </is>
      </c>
    </row>
    <row r="25" ht="20" customHeight="1">
      <c r="A25" s="5" t="inlineStr">
        <is>
          <t>NVIDIA (NVDA)</t>
        </is>
      </c>
      <c r="B25" s="12" t="n"/>
      <c r="C25" s="6" t="n"/>
      <c r="D25" s="13">
        <f>B25*C25</f>
        <v/>
      </c>
      <c r="E25" s="14" t="n"/>
      <c r="F25" s="13">
        <f>D25+E25</f>
        <v/>
      </c>
      <c r="G25" s="15">
        <f>IFERROR(F25/B7,"")</f>
        <v/>
      </c>
      <c r="H25" s="15">
        <f>IFERROR(F25/F7,"")</f>
        <v/>
      </c>
      <c r="I25" s="15">
        <f>IFERROR(B25/J25,"")</f>
        <v/>
      </c>
      <c r="J25" s="12" t="n"/>
    </row>
    <row r="26" ht="20" customHeight="1">
      <c r="A26" s="5" t="inlineStr">
        <is>
          <t>Advanced Micro Devices (AMD)</t>
        </is>
      </c>
      <c r="B26" s="12" t="n"/>
      <c r="C26" s="6" t="n"/>
      <c r="D26" s="13">
        <f>B26*C26</f>
        <v/>
      </c>
      <c r="E26" s="14" t="n"/>
      <c r="F26" s="13">
        <f>D26+E26</f>
        <v/>
      </c>
      <c r="G26" s="15">
        <f>IFERROR(F26/B8,"")</f>
        <v/>
      </c>
      <c r="H26" s="15">
        <f>IFERROR(F26/F8,"")</f>
        <v/>
      </c>
      <c r="I26" s="15">
        <f>IFERROR(B26/J26,"")</f>
        <v/>
      </c>
      <c r="J26" s="12" t="n"/>
    </row>
    <row r="27" ht="20" customHeight="1">
      <c r="A27" s="5" t="inlineStr">
        <is>
          <t>Intel (INTC)</t>
        </is>
      </c>
      <c r="B27" s="12" t="n"/>
      <c r="C27" s="6" t="n"/>
      <c r="D27" s="13">
        <f>B27*C27</f>
        <v/>
      </c>
      <c r="E27" s="14" t="n"/>
      <c r="F27" s="13">
        <f>D27+E27</f>
        <v/>
      </c>
      <c r="G27" s="15">
        <f>IFERROR(F27/B9,"")</f>
        <v/>
      </c>
      <c r="H27" s="15">
        <f>IFERROR(F27/F9,"")</f>
        <v/>
      </c>
      <c r="I27" s="15">
        <f>IFERROR(B27/J27,"")</f>
        <v/>
      </c>
      <c r="J27" s="12" t="n"/>
    </row>
    <row r="28" ht="20" customHeight="1">
      <c r="A28" s="5" t="inlineStr">
        <is>
          <t>Broadcom (AVGO)</t>
        </is>
      </c>
      <c r="B28" s="12" t="n"/>
      <c r="C28" s="6" t="n"/>
      <c r="D28" s="13">
        <f>B28*C28</f>
        <v/>
      </c>
      <c r="E28" s="14" t="n"/>
      <c r="F28" s="13">
        <f>D28+E28</f>
        <v/>
      </c>
      <c r="G28" s="15">
        <f>IFERROR(F28/B10,"")</f>
        <v/>
      </c>
      <c r="H28" s="15">
        <f>IFERROR(F28/F10,"")</f>
        <v/>
      </c>
      <c r="I28" s="15">
        <f>IFERROR(B28/J28,"")</f>
        <v/>
      </c>
      <c r="J28" s="12" t="n"/>
    </row>
    <row r="29" ht="20" customHeight="1">
      <c r="A29" s="5" t="inlineStr">
        <is>
          <t>Qualcomm (QCOM)</t>
        </is>
      </c>
      <c r="B29" s="12" t="n"/>
      <c r="C29" s="6" t="n"/>
      <c r="D29" s="13">
        <f>B29*C29</f>
        <v/>
      </c>
      <c r="E29" s="14" t="n"/>
      <c r="F29" s="13">
        <f>D29+E29</f>
        <v/>
      </c>
      <c r="G29" s="15">
        <f>IFERROR(F29/B11,"")</f>
        <v/>
      </c>
      <c r="H29" s="15">
        <f>IFERROR(F29/F11,"")</f>
        <v/>
      </c>
      <c r="I29" s="15">
        <f>IFERROR(B29/J29,"")</f>
        <v/>
      </c>
      <c r="J29" s="12" t="n"/>
    </row>
    <row r="30" ht="20" customHeight="1">
      <c r="A30" s="5" t="inlineStr">
        <is>
          <t>Marvell Technology (MRVL)</t>
        </is>
      </c>
      <c r="B30" s="12" t="n"/>
      <c r="C30" s="6" t="n"/>
      <c r="D30" s="13">
        <f>B30*C30</f>
        <v/>
      </c>
      <c r="E30" s="14" t="n"/>
      <c r="F30" s="13">
        <f>D30+E30</f>
        <v/>
      </c>
      <c r="G30" s="15">
        <f>IFERROR(F30/B12,"")</f>
        <v/>
      </c>
      <c r="H30" s="15">
        <f>IFERROR(F30/F12,"")</f>
        <v/>
      </c>
      <c r="I30" s="15">
        <f>IFERROR(B30/J30,"")</f>
        <v/>
      </c>
      <c r="J30" s="12" t="n"/>
    </row>
    <row r="31" ht="20" customHeight="1">
      <c r="A31" s="5" t="inlineStr">
        <is>
          <t>Arm Holdings (ARM)</t>
        </is>
      </c>
      <c r="B31" s="12" t="n"/>
      <c r="C31" s="6" t="n"/>
      <c r="D31" s="13">
        <f>B31*C31</f>
        <v/>
      </c>
      <c r="E31" s="14" t="n"/>
      <c r="F31" s="13">
        <f>D31+E31</f>
        <v/>
      </c>
      <c r="G31" s="15">
        <f>IFERROR(F31/B13,"")</f>
        <v/>
      </c>
      <c r="H31" s="15">
        <f>IFERROR(F31/F13,"")</f>
        <v/>
      </c>
      <c r="I31" s="15">
        <f>IFERROR(B31/J31,"")</f>
        <v/>
      </c>
      <c r="J31" s="12" t="n"/>
    </row>
    <row r="32" ht="20" customHeight="1">
      <c r="A32" s="5" t="inlineStr">
        <is>
          <t>Taiwan Semiconductor (TSM)</t>
        </is>
      </c>
      <c r="B32" s="12" t="n"/>
      <c r="C32" s="6" t="n"/>
      <c r="D32" s="13">
        <f>B32*C32</f>
        <v/>
      </c>
      <c r="E32" s="14" t="n"/>
      <c r="F32" s="13">
        <f>D32+E32</f>
        <v/>
      </c>
      <c r="G32" s="15">
        <f>IFERROR(F32/B14,"")</f>
        <v/>
      </c>
      <c r="H32" s="15">
        <f>IFERROR(F32/F14,"")</f>
        <v/>
      </c>
      <c r="I32" s="15">
        <f>IFERROR(B32/J32,"")</f>
        <v/>
      </c>
      <c r="J32" s="12" t="n"/>
    </row>
    <row r="34" ht="20" customHeight="1">
      <c r="A34" s="9" t="inlineStr">
        <is>
          <t>Maximum</t>
        </is>
      </c>
      <c r="B34" s="10" t="n"/>
      <c r="C34" s="10" t="n"/>
      <c r="D34" s="10" t="n"/>
      <c r="E34" s="10" t="n"/>
      <c r="F34" s="10" t="n"/>
      <c r="G34" s="16">
        <f>MAX(G25:G32)</f>
        <v/>
      </c>
      <c r="H34" s="16">
        <f>MAX(H25:H32)</f>
        <v/>
      </c>
      <c r="I34" s="16">
        <f>MAX(I25:I32)</f>
        <v/>
      </c>
      <c r="J34" s="10" t="n"/>
    </row>
    <row r="35" ht="20" customHeight="1">
      <c r="A35" s="9" t="inlineStr">
        <is>
          <t>75th Percentile</t>
        </is>
      </c>
      <c r="B35" s="10" t="n"/>
      <c r="C35" s="10" t="n"/>
      <c r="D35" s="10" t="n"/>
      <c r="E35" s="10" t="n"/>
      <c r="F35" s="10" t="n"/>
      <c r="G35" s="16">
        <f>QUARTILE(G25:G32,3)</f>
        <v/>
      </c>
      <c r="H35" s="16">
        <f>QUARTILE(H25:H32,3)</f>
        <v/>
      </c>
      <c r="I35" s="16">
        <f>QUARTILE(I25:I32,3)</f>
        <v/>
      </c>
      <c r="J35" s="10" t="n"/>
    </row>
    <row r="36" ht="20" customHeight="1">
      <c r="A36" s="9" t="inlineStr">
        <is>
          <t>Median</t>
        </is>
      </c>
      <c r="B36" s="10" t="n"/>
      <c r="C36" s="10" t="n"/>
      <c r="D36" s="10" t="n"/>
      <c r="E36" s="10" t="n"/>
      <c r="F36" s="10" t="n"/>
      <c r="G36" s="16">
        <f>MEDIAN(G25:G32)</f>
        <v/>
      </c>
      <c r="H36" s="16">
        <f>MEDIAN(H25:H32)</f>
        <v/>
      </c>
      <c r="I36" s="16">
        <f>MEDIAN(I25:I32)</f>
        <v/>
      </c>
      <c r="J36" s="10" t="n"/>
    </row>
    <row r="37" ht="20" customHeight="1">
      <c r="A37" s="9" t="inlineStr">
        <is>
          <t>25th Percentile</t>
        </is>
      </c>
      <c r="B37" s="10" t="n"/>
      <c r="C37" s="10" t="n"/>
      <c r="D37" s="10" t="n"/>
      <c r="E37" s="10" t="n"/>
      <c r="F37" s="10" t="n"/>
      <c r="G37" s="16">
        <f>QUARTILE(G25:G32,1)</f>
        <v/>
      </c>
      <c r="H37" s="16">
        <f>QUARTILE(H25:H32,1)</f>
        <v/>
      </c>
      <c r="I37" s="16">
        <f>QUARTILE(I25:I32,1)</f>
        <v/>
      </c>
      <c r="J37" s="10" t="n"/>
    </row>
    <row r="38" ht="20" customHeight="1">
      <c r="A38" s="9" t="inlineStr">
        <is>
          <t>Minimum</t>
        </is>
      </c>
      <c r="B38" s="10" t="n"/>
      <c r="C38" s="10" t="n"/>
      <c r="D38" s="10" t="n"/>
      <c r="E38" s="10" t="n"/>
      <c r="F38" s="10" t="n"/>
      <c r="G38" s="16">
        <f>MIN(G25:G32)</f>
        <v/>
      </c>
      <c r="H38" s="16">
        <f>MIN(H25:H32)</f>
        <v/>
      </c>
      <c r="I38" s="16">
        <f>MIN(I25:I32)</f>
        <v/>
      </c>
      <c r="J38" s="10" t="n"/>
    </row>
    <row r="41" ht="22" customHeight="1">
      <c r="A41" s="3" t="inlineStr">
        <is>
          <t>NOTES &amp; METHODOLOGY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40" customHeight="1">
      <c r="A42" s="17" t="inlineStr">
        <is>
          <t>Data sources</t>
        </is>
      </c>
      <c r="B42" s="18" t="inlineStr">
        <is>
          <t>All figures sourced from each company's most recent SEC filing (10-K or 10-Q). Cell comments on each input cell will document the exact filing, page, and line item. EBITDA is calculated as Operating Income + D&amp;A from the cash flow statement unless otherwise noted.</t>
        </is>
      </c>
    </row>
    <row r="44" ht="40" customHeight="1">
      <c r="A44" s="17" t="inlineStr">
        <is>
          <t>Reporting periods</t>
        </is>
      </c>
      <c r="B44" s="18" t="inlineStr">
        <is>
          <t>LTM (last twelve months) through each company's most recently reported quarter as of May 2026. NVDA: FY26 Q4 (Jan 2026). AMD/INTC/AVGO/QCOM/MRVL/TSM: calendar Q1 2026 (Mar 2026). ARM: FY26 Q4 (Mar 2026). Mixed period-ends flagged here for transparency.</t>
        </is>
      </c>
    </row>
    <row r="46" ht="40" customHeight="1">
      <c r="A46" s="17" t="inlineStr">
        <is>
          <t>EBITDA definition</t>
        </is>
      </c>
      <c r="B46" s="18" t="inlineStr">
        <is>
          <t>EBITDA = Operating Income + Depreciation + Amortization. For semis with significant stock-based comp, SBC is NOT added back (i.e., GAAP-style EBITDA, not adjusted/non-GAAP). Adjusted figures could be added in a separate row if needed.</t>
        </is>
      </c>
    </row>
    <row r="48" ht="40" customHeight="1">
      <c r="A48" s="17" t="inlineStr">
        <is>
          <t>Enterprise Value</t>
        </is>
      </c>
      <c r="B48" s="18" t="inlineStr">
        <is>
          <t>EV = Market Cap + Total Debt - Cash &amp; ST Investments. Net Debt input column accepts negative values for net-cash companies (e.g., NVDA, GOOGL-like balance sheets) — formatting shows parentheses for net cash.</t>
        </is>
      </c>
    </row>
    <row r="50" ht="40" customHeight="1">
      <c r="A50" s="17" t="inlineStr">
        <is>
          <t>Market data</t>
        </is>
      </c>
      <c r="B50" s="18" t="inlineStr">
        <is>
          <t>Share price as of close on the data-as-of date. Diluted share counts from most recent 10-Q cover page or earnings release.</t>
        </is>
      </c>
    </row>
    <row r="52" ht="40" customHeight="1">
      <c r="A52" s="17" t="inlineStr">
        <is>
          <t>Comparability caveats</t>
        </is>
      </c>
      <c r="B52" s="18" t="inlineStr">
        <is>
          <t>Pure-play comparability varies: NVDA/AMD/AVGO are fabless designers; INTC is IDM; TSM is foundry; ARM is IP-licensing. Margin profiles will differ materially by business model. Reader should weight comps accordingly.</t>
        </is>
      </c>
    </row>
    <row r="54" ht="40" customHeight="1">
      <c r="A54" s="17" t="inlineStr">
        <is>
          <t>Color convention</t>
        </is>
      </c>
      <c r="B54" s="18" t="inlineStr">
        <is>
          <t>Blue text = hardcoded input (raw figure from a filing). Black text = formula. Light-grey rows = statistics (Max / 75th / Median / 25th / Min).</t>
        </is>
      </c>
    </row>
    <row r="56" ht="40" customHeight="1">
      <c r="A56" s="17" t="inlineStr">
        <is>
          <t>Central question</t>
        </is>
      </c>
      <c r="B56" s="18" t="inlineStr">
        <is>
          <t>Is NVDA fairly valued relative to its semiconductor peer set on EV/Revenue, EV/EBITDA, and P/E, given its growth and margin profile?</t>
        </is>
      </c>
    </row>
  </sheetData>
  <mergeCells count="14">
    <mergeCell ref="A1:J1"/>
    <mergeCell ref="A23:J23"/>
    <mergeCell ref="A5:I5"/>
    <mergeCell ref="B42:J42"/>
    <mergeCell ref="B46:J46"/>
    <mergeCell ref="B54:J54"/>
    <mergeCell ref="A3:J3"/>
    <mergeCell ref="B50:J50"/>
    <mergeCell ref="B56:J56"/>
    <mergeCell ref="A2:J2"/>
    <mergeCell ref="B44:J44"/>
    <mergeCell ref="B52:J52"/>
    <mergeCell ref="A41:J41"/>
    <mergeCell ref="B48:J4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2026-05-20T04:36:37Z</dcterms:created>
  <dcterms:modified xsi:type="dcterms:W3CDTF">2026-05-20T04:36:37Z</dcterms:modified>
</cp:coreProperties>
</file>