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(#,##0)"/>
    <numFmt numFmtId="166" formatCode="0.0&quot;x&quot;"/>
    <numFmt numFmtId="167" formatCode="$#,##0.00"/>
    <numFmt numFmtId="168" formatCode="#,##0.0"/>
    <numFmt numFmtId="169" formatCode="$#,##0.00;($#,##0.00)"/>
  </numFmts>
  <fonts count="10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000000"/>
      <sz val="10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0070C0"/>
      <sz val="11"/>
    </font>
    <font>
      <name val="Times New Roman"/>
      <color rgb="000070C0"/>
      <sz val="11"/>
    </font>
    <font>
      <name val="Times New Roman"/>
      <b val="1"/>
      <i val="1"/>
      <color rgb="00000000"/>
      <sz val="11"/>
    </font>
    <font>
      <name val="Times New Roman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166" fontId="5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Comps</author>
  </authors>
  <commentList>
    <comment ref="B7" authorId="0" shapeId="0">
      <text>
        <t>DXLG — Revenue (LTM, $M), FY24 (LTM through Feb 1, 2025)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C7" authorId="0" shapeId="0">
      <text>
        <t>DXLG — Revenue YoY growth, FY24 (LTM through Feb 1, 2025)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D7" authorId="0" shapeId="0">
      <text>
        <t>DXLG — Gross Profit ($M), FY24 (LTM through Feb 1, 2025)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F7" authorId="0" shapeId="0">
      <text>
        <t>DXLG — Adjusted (non-GAAP) EBITDA ($M), FY24 (LTM through Feb 1, 2025)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H7" authorId="0" shapeId="0">
      <text>
        <t>DXLG — Free Cash Flow ($M), FY24 (LTM through Feb 1, 2025)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B8" authorId="0" shapeId="0">
      <text>
        <t>BKE — Revenue (LTM, $M), FY24 (LTM through Feb 1, 2025)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C8" authorId="0" shapeId="0">
      <text>
        <t>BKE — Revenue YoY growth, FY24 (LTM through Feb 1, 2025)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D8" authorId="0" shapeId="0">
      <text>
        <t>BKE — Gross Profit ($M), FY24 (LTM through Feb 1, 2025)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F8" authorId="0" shapeId="0">
      <text>
        <t>BKE — Adjusted (non-GAAP) EBITDA ($M), FY24 (LTM through Feb 1, 2025)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H8" authorId="0" shapeId="0">
      <text>
        <t>BKE — Free Cash Flow ($M), FY24 (LTM through Feb 1, 2025)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B9" authorId="0" shapeId="0">
      <text>
        <t>CATO — Revenue (LTM, $M), FY24 (LTM through Feb 1, 2025)
Source: Cato Corp FY24 10-K (year ended Feb 1, 2025); EPS reflects GAAP loss
Note: Figure from training-data recall (Jan 2026 cutoff). VERIFY against the cited filing on SEC EDGAR before publishing or trading on this output.</t>
      </text>
    </comment>
    <comment ref="C9" authorId="0" shapeId="0">
      <text>
        <t>CATO — Revenue YoY growth, FY24 (LTM through Feb 1, 2025)
Source: Cato Corp FY24 10-K (year ended Feb 1, 2025); EPS reflects GAAP loss
Note: Figure from training-data recall (Jan 2026 cutoff). VERIFY against the cited filing on SEC EDGAR before publishing or trading on this output.</t>
      </text>
    </comment>
    <comment ref="D9" authorId="0" shapeId="0">
      <text>
        <t>CATO — Gross Profit ($M), FY24 (LTM through Feb 1, 2025)
Source: Cato Corp FY24 10-K (year ended Feb 1, 2025); EPS reflects GAAP loss
Note: Figure from training-data recall (Jan 2026 cutoff). VERIFY against the cited filing on SEC EDGAR before publishing or trading on this output.</t>
      </text>
    </comment>
    <comment ref="F9" authorId="0" shapeId="0">
      <text>
        <t>CATO — Adjusted (non-GAAP) EBITDA ($M), FY24 (LTM through Feb 1, 2025)
Source: Cato Corp FY24 10-K (year ended Feb 1, 2025); EPS reflects GAAP loss
Note: Figure from training-data recall (Jan 2026 cutoff). VERIFY against the cited filing on SEC EDGAR before publishing or trading on this output.</t>
      </text>
    </comment>
    <comment ref="H9" authorId="0" shapeId="0">
      <text>
        <t>CATO — Free Cash Flow ($M), FY24 (LTM through Feb 1, 2025)
Source: Cato Corp FY24 10-K (year ended Feb 1, 2025); EPS reflects GAAP loss
Note: Figure from training-data recall (Jan 2026 cutoff). VERIFY against the cited filing on SEC EDGAR before publishing or trading on this output.</t>
      </text>
    </comment>
    <comment ref="B10" authorId="0" shapeId="0">
      <text>
        <t>CTRN — Revenue (LTM, $M), FY24 (LTM through Feb 1, 2025)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C10" authorId="0" shapeId="0">
      <text>
        <t>CTRN — Revenue YoY growth, FY24 (LTM through Feb 1, 2025)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D10" authorId="0" shapeId="0">
      <text>
        <t>CTRN — Gross Profit ($M), FY24 (LTM through Feb 1, 2025)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F10" authorId="0" shapeId="0">
      <text>
        <t>CTRN — Adjusted (non-GAAP) EBITDA ($M), FY24 (LTM through Feb 1, 2025)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H10" authorId="0" shapeId="0">
      <text>
        <t>CTRN — Free Cash Flow ($M), FY24 (LTM through Feb 1, 2025)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B11" authorId="0" shapeId="0">
      <text>
        <t>TLYS — Revenue (LTM, $M), FY24 (LTM through Feb 1, 2025)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C11" authorId="0" shapeId="0">
      <text>
        <t>TLYS — Revenue YoY growth, FY24 (LTM through Feb 1, 2025)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D11" authorId="0" shapeId="0">
      <text>
        <t>TLYS — Gross Profit ($M), FY24 (LTM through Feb 1, 2025)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F11" authorId="0" shapeId="0">
      <text>
        <t>TLYS — Adjusted (non-GAAP) EBITDA ($M), FY24 (LTM through Feb 1, 2025)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H11" authorId="0" shapeId="0">
      <text>
        <t>TLYS — Free Cash Flow ($M), FY24 (LTM through Feb 1, 2025)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B12" authorId="0" shapeId="0">
      <text>
        <t>ZUMZ — Revenue (LTM, $M), FY24 (LTM through Feb 1, 2025)
Source: Zumiez Inc FY24 10-K (year ended Feb 1, 2025); large net cash position
Note: Figure from training-data recall (Jan 2026 cutoff). VERIFY against the cited filing on SEC EDGAR before publishing or trading on this output.</t>
      </text>
    </comment>
    <comment ref="C12" authorId="0" shapeId="0">
      <text>
        <t>ZUMZ — Revenue YoY growth, FY24 (LTM through Feb 1, 2025)
Source: Zumiez Inc FY24 10-K (year ended Feb 1, 2025); large net cash position
Note: Figure from training-data recall (Jan 2026 cutoff). VERIFY against the cited filing on SEC EDGAR before publishing or trading on this output.</t>
      </text>
    </comment>
    <comment ref="D12" authorId="0" shapeId="0">
      <text>
        <t>ZUMZ — Gross Profit ($M), FY24 (LTM through Feb 1, 2025)
Source: Zumiez Inc FY24 10-K (year ended Feb 1, 2025); large net cash position
Note: Figure from training-data recall (Jan 2026 cutoff). VERIFY against the cited filing on SEC EDGAR before publishing or trading on this output.</t>
      </text>
    </comment>
    <comment ref="F12" authorId="0" shapeId="0">
      <text>
        <t>ZUMZ — Adjusted (non-GAAP) EBITDA ($M), FY24 (LTM through Feb 1, 2025)
Source: Zumiez Inc FY24 10-K (year ended Feb 1, 2025); large net cash position
Note: Figure from training-data recall (Jan 2026 cutoff). VERIFY against the cited filing on SEC EDGAR before publishing or trading on this output.</t>
      </text>
    </comment>
    <comment ref="H12" authorId="0" shapeId="0">
      <text>
        <t>ZUMZ — Free Cash Flow ($M), FY24 (LTM through Feb 1, 2025)
Source: Zumiez Inc FY24 10-K (year ended Feb 1, 2025); large net cash position
Note: Figure from training-data recall (Jan 2026 cutoff). VERIFY against the cited filing on SEC EDGAR before publishing or trading on this output.</t>
      </text>
    </comment>
    <comment ref="B13" authorId="0" shapeId="0">
      <text>
        <t>GCO — Revenue (LTM, $M), FY25 (LTM through Feb 1, 2025)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C13" authorId="0" shapeId="0">
      <text>
        <t>GCO — Revenue YoY growth, FY25 (LTM through Feb 1, 2025)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D13" authorId="0" shapeId="0">
      <text>
        <t>GCO — Gross Profit ($M), FY25 (LTM through Feb 1, 2025)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F13" authorId="0" shapeId="0">
      <text>
        <t>GCO — Adjusted (non-GAAP) EBITDA ($M), FY25 (LTM through Feb 1, 2025)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H13" authorId="0" shapeId="0">
      <text>
        <t>GCO — Free Cash Flow ($M), FY25 (LTM through Feb 1, 2025)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B14" authorId="0" shapeId="0">
      <text>
        <t>DBI — Revenue (LTM, $M), FY24 (LTM through Feb 1, 2025)
Source: Designer Brands Inc FY24 10-K (year ended Feb 1, 2025); DSW parent
Note: Figure from training-data recall (Jan 2026 cutoff). VERIFY against the cited filing on SEC EDGAR before publishing or trading on this output.</t>
      </text>
    </comment>
    <comment ref="C14" authorId="0" shapeId="0">
      <text>
        <t>DBI — Revenue YoY growth, FY24 (LTM through Feb 1, 2025)
Source: Designer Brands Inc FY24 10-K (year ended Feb 1, 2025); DSW parent
Note: Figure from training-data recall (Jan 2026 cutoff). VERIFY against the cited filing on SEC EDGAR before publishing or trading on this output.</t>
      </text>
    </comment>
    <comment ref="D14" authorId="0" shapeId="0">
      <text>
        <t>DBI — Gross Profit ($M), FY24 (LTM through Feb 1, 2025)
Source: Designer Brands Inc FY24 10-K (year ended Feb 1, 2025); DSW parent
Note: Figure from training-data recall (Jan 2026 cutoff). VERIFY against the cited filing on SEC EDGAR before publishing or trading on this output.</t>
      </text>
    </comment>
    <comment ref="F14" authorId="0" shapeId="0">
      <text>
        <t>DBI — Adjusted (non-GAAP) EBITDA ($M), FY24 (LTM through Feb 1, 2025)
Source: Designer Brands Inc FY24 10-K (year ended Feb 1, 2025); DSW parent
Note: Figure from training-data recall (Jan 2026 cutoff). VERIFY against the cited filing on SEC EDGAR before publishing or trading on this output.</t>
      </text>
    </comment>
    <comment ref="H14" authorId="0" shapeId="0">
      <text>
        <t>DBI — Free Cash Flow ($M), FY24 (LTM through Feb 1, 2025)
Source: Designer Brands Inc FY24 10-K (year ended Feb 1, 2025); DSW parent
Note: Figure from training-data recall (Jan 2026 cutoff). VERIFY against the cited filing on SEC EDGAR before publishing or trading on this output.</t>
      </text>
    </comment>
    <comment ref="B15" authorId="0" shapeId="0">
      <text>
        <t>CURV — Revenue (LTM, $M), FY24 (LTM through Feb 1, 2025)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  <comment ref="C15" authorId="0" shapeId="0">
      <text>
        <t>CURV — Revenue YoY growth, FY24 (LTM through Feb 1, 2025)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  <comment ref="D15" authorId="0" shapeId="0">
      <text>
        <t>CURV — Gross Profit ($M), FY24 (LTM through Feb 1, 2025)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  <comment ref="F15" authorId="0" shapeId="0">
      <text>
        <t>CURV — Adjusted (non-GAAP) EBITDA ($M), FY24 (LTM through Feb 1, 2025)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  <comment ref="H15" authorId="0" shapeId="0">
      <text>
        <t>CURV — Free Cash Flow ($M), FY24 (LTM through Feb 1, 2025)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  <comment ref="B26" authorId="0" shapeId="0">
      <text>
        <t>DXLG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26" authorId="0" shapeId="0">
      <text>
        <t>DXLG — Diluted Shares Outstanding (M), per most recent 10-Q cover page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E26" authorId="0" shapeId="0">
      <text>
        <t>DXLG — Net Debt ($M, negative = net cash) = Total Debt - Cash &amp; ST Investments, most recent b/s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J26" authorId="0" shapeId="0">
      <text>
        <t>DXLG — Diluted EPS (LTM, $), FY24 (LTM through Feb 1, 2025)
Source: Destination XL Group FY24 10-K (year ended Feb 1, 2025); Adjusted EBITDA per non-GAAP recon
Note: Figure from training-data recall (Jan 2026 cutoff). VERIFY against the cited filing on SEC EDGAR before publishing or trading on this output.</t>
      </text>
    </comment>
    <comment ref="B27" authorId="0" shapeId="0">
      <text>
        <t>BKE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27" authorId="0" shapeId="0">
      <text>
        <t>BKE — Diluted Shares Outstanding (M), per most recent 10-Q cover page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E27" authorId="0" shapeId="0">
      <text>
        <t>BKE — Net Debt ($M, negative = net cash) = Total Debt - Cash &amp; ST Investments, most recent b/s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J27" authorId="0" shapeId="0">
      <text>
        <t>BKE — Diluted EPS (LTM, $), FY24 (LTM through Feb 1, 2025)
Source: The Buckle Inc FY24 10-K (year ended Feb 1, 2025); pays large recurring special dividends
Note: Figure from training-data recall (Jan 2026 cutoff). VERIFY against the cited filing on SEC EDGAR before publishing or trading on this output.</t>
      </text>
    </comment>
    <comment ref="B28" authorId="0" shapeId="0">
      <text>
        <t>CATO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28" authorId="0" shapeId="0">
      <text>
        <t>CATO — Diluted Shares Outstanding (M), per most recent 10-Q cover page
Source: Cato Corp FY24 10-K (year ended Feb 1, 2025); EPS reflects GAAP loss
Note: Figure from training-data recall (Jan 2026 cutoff). VERIFY against the cited filing on SEC EDGAR before publishing or trading on this output.</t>
      </text>
    </comment>
    <comment ref="E28" authorId="0" shapeId="0">
      <text>
        <t>CATO — Net Debt ($M, negative = net cash) = Total Debt - Cash &amp; ST Investments, most recent b/s
Source: Cato Corp FY24 10-K (year ended Feb 1, 2025); EPS reflects GAAP loss
Note: Figure from training-data recall (Jan 2026 cutoff). VERIFY against the cited filing on SEC EDGAR before publishing or trading on this output.</t>
      </text>
    </comment>
    <comment ref="J28" authorId="0" shapeId="0">
      <text>
        <t>CATO — Diluted EPS (LTM, $), FY24 (LTM through Feb 1, 2025)
Source: Cato Corp FY24 10-K (year ended Feb 1, 2025); EPS reflects GAAP loss
Note: Figure from training-data recall (Jan 2026 cutoff). VERIFY against the cited filing on SEC EDGAR before publishing or trading on this output.</t>
      </text>
    </comment>
    <comment ref="B29" authorId="0" shapeId="0">
      <text>
        <t>CTRN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29" authorId="0" shapeId="0">
      <text>
        <t>CTRN — Diluted Shares Outstanding (M), per most recent 10-Q cover page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E29" authorId="0" shapeId="0">
      <text>
        <t>CTRN — Net Debt ($M, negative = net cash) = Total Debt - Cash &amp; ST Investments, most recent b/s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J29" authorId="0" shapeId="0">
      <text>
        <t>CTRN — Diluted EPS (LTM, $), FY24 (LTM through Feb 1, 2025)
Source: Citi Trends FY24 10-K (year ended Feb 1, 2025); EPS reflects GAAP loss; EBITDA depressed by store-level deleverage
Note: Figure from training-data recall (Jan 2026 cutoff). VERIFY against the cited filing on SEC EDGAR before publishing or trading on this output.</t>
      </text>
    </comment>
    <comment ref="B30" authorId="0" shapeId="0">
      <text>
        <t>TLYS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30" authorId="0" shapeId="0">
      <text>
        <t>TLYS — Diluted Shares Outstanding (M), per most recent 10-Q cover page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E30" authorId="0" shapeId="0">
      <text>
        <t>TLYS — Net Debt ($M, negative = net cash) = Total Debt - Cash &amp; ST Investments, most recent b/s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J30" authorId="0" shapeId="0">
      <text>
        <t>TLYS — Diluted EPS (LTM, $), FY24 (LTM through Feb 1, 2025)
Source: Tilly's Inc FY24 10-K (year ended Feb 1, 2025); negative Adj EBITDA — EV/EBITDA shown as n/m
Note: Figure from training-data recall (Jan 2026 cutoff). VERIFY against the cited filing on SEC EDGAR before publishing or trading on this output.</t>
      </text>
    </comment>
    <comment ref="B31" authorId="0" shapeId="0">
      <text>
        <t>ZUMZ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31" authorId="0" shapeId="0">
      <text>
        <t>ZUMZ — Diluted Shares Outstanding (M), per most recent 10-Q cover page
Source: Zumiez Inc FY24 10-K (year ended Feb 1, 2025); large net cash position
Note: Figure from training-data recall (Jan 2026 cutoff). VERIFY against the cited filing on SEC EDGAR before publishing or trading on this output.</t>
      </text>
    </comment>
    <comment ref="E31" authorId="0" shapeId="0">
      <text>
        <t>ZUMZ — Net Debt ($M, negative = net cash) = Total Debt - Cash &amp; ST Investments, most recent b/s
Source: Zumiez Inc FY24 10-K (year ended Feb 1, 2025); large net cash position
Note: Figure from training-data recall (Jan 2026 cutoff). VERIFY against the cited filing on SEC EDGAR before publishing or trading on this output.</t>
      </text>
    </comment>
    <comment ref="J31" authorId="0" shapeId="0">
      <text>
        <t>ZUMZ — Diluted EPS (LTM, $), FY24 (LTM through Feb 1, 2025)
Source: Zumiez Inc FY24 10-K (year ended Feb 1, 2025); large net cash position
Note: Figure from training-data recall (Jan 2026 cutoff). VERIFY against the cited filing on SEC EDGAR before publishing or trading on this output.</t>
      </text>
    </comment>
    <comment ref="B32" authorId="0" shapeId="0">
      <text>
        <t>GCO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32" authorId="0" shapeId="0">
      <text>
        <t>GCO — Diluted Shares Outstanding (M), per most recent 10-Q cover page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E32" authorId="0" shapeId="0">
      <text>
        <t>GCO — Net Debt ($M, negative = net cash) = Total Debt - Cash &amp; ST Investments, most recent b/s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J32" authorId="0" shapeId="0">
      <text>
        <t>GCO — Diluted EPS (LTM, $), FY25 (LTM through Feb 1, 2025)
Source: Genesco Inc FY25 10-K (year ended Feb 1, 2025); Journeys/Schuh/Johnston &amp; Murphy; carries net debt
Note: Figure from training-data recall (Jan 2026 cutoff). VERIFY against the cited filing on SEC EDGAR before publishing or trading on this output.</t>
      </text>
    </comment>
    <comment ref="B33" authorId="0" shapeId="0">
      <text>
        <t>DBI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33" authorId="0" shapeId="0">
      <text>
        <t>DBI — Diluted Shares Outstanding (M), per most recent 10-Q cover page
Source: Designer Brands Inc FY24 10-K (year ended Feb 1, 2025); DSW parent
Note: Figure from training-data recall (Jan 2026 cutoff). VERIFY against the cited filing on SEC EDGAR before publishing or trading on this output.</t>
      </text>
    </comment>
    <comment ref="E33" authorId="0" shapeId="0">
      <text>
        <t>DBI — Net Debt ($M, negative = net cash) = Total Debt - Cash &amp; ST Investments, most recent b/s
Source: Designer Brands Inc FY24 10-K (year ended Feb 1, 2025); DSW parent
Note: Figure from training-data recall (Jan 2026 cutoff). VERIFY against the cited filing on SEC EDGAR before publishing or trading on this output.</t>
      </text>
    </comment>
    <comment ref="J33" authorId="0" shapeId="0">
      <text>
        <t>DBI — Diluted EPS (LTM, $), FY24 (LTM through Feb 1, 2025)
Source: Designer Brands Inc FY24 10-K (year ended Feb 1, 2025); DSW parent
Note: Figure from training-data recall (Jan 2026 cutoff). VERIFY against the cited filing on SEC EDGAR before publishing or trading on this output.</t>
      </text>
    </comment>
    <comment ref="B34" authorId="0" shapeId="0">
      <text>
        <t>CURV — Share Price ($), illustrative as-of 2026-05-22
Source: Approximate close as of 2026-05-22; placeholder — replace with verified market data
Note: Figure from training-data recall (Jan 2026 cutoff). VERIFY against the cited filing on SEC EDGAR before publishing or trading on this output.</t>
      </text>
    </comment>
    <comment ref="C34" authorId="0" shapeId="0">
      <text>
        <t>CURV — Diluted Shares Outstanding (M), per most recent 10-Q cover page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  <comment ref="E34" authorId="0" shapeId="0">
      <text>
        <t>CURV — Net Debt ($M, negative = net cash) = Total Debt - Cash &amp; ST Investments, most recent b/s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  <comment ref="J34" authorId="0" shapeId="0">
      <text>
        <t>CURV — Diluted EPS (LTM, $), FY24 (LTM through Feb 1, 2025)
Source: Torrid Holdings FY24 10-K (year ended Feb 1, 2025); plus-size women's apparel; carries LBO-era term loan
Note: Figure from training-data recall (Jan 2026 cutoff). VERIFY against the cited filing on SEC EDGAR before publishing or trading on this output.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" t="inlineStr">
        <is>
          <t>SPECIALTY APPAREL RETAIL — DXLG COMPARABLE COMPANY ANALYSIS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Height="1">
      <c r="A2" s="2" t="inlineStr">
        <is>
          <t>Destination XL Group (DXLG) • The Buckle (BKE) • Cato Corp (CATO) • Citi Trends (CTRN) • Tilly's (TLYS) • Zumiez (ZUMZ) • Genesco (GCO) • Designer Brands (DBI) • Torrid Holdings (CURV)</t>
        </is>
      </c>
    </row>
    <row r="3" ht="18" customHeight="1">
      <c r="A3" s="2" t="inlineStr">
        <is>
          <t>As of LTM through each company's most-recent reported quarter (most ~Feb 1, 2025) | All figures in USD Millions except per-share amounts and ratios</t>
        </is>
      </c>
    </row>
    <row r="5" ht="22" customHeight="1">
      <c r="A5" s="3" t="inlineStr">
        <is>
          <t>OPERATING STATISTICS &amp; FINANCIAL METRICS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 ht="30" customHeight="1">
      <c r="A6" s="4" t="inlineStr">
        <is>
          <t>Company</t>
        </is>
      </c>
      <c r="B6" s="4" t="inlineStr">
        <is>
          <t>Revenue (LTM, $M)</t>
        </is>
      </c>
      <c r="C6" s="4" t="inlineStr">
        <is>
          <t>Rev Growth (YoY)</t>
        </is>
      </c>
      <c r="D6" s="4" t="inlineStr">
        <is>
          <t>Gross Profit ($M)</t>
        </is>
      </c>
      <c r="E6" s="4" t="inlineStr">
        <is>
          <t>Gross Margin</t>
        </is>
      </c>
      <c r="F6" s="4" t="inlineStr">
        <is>
          <t>EBITDA ($M)</t>
        </is>
      </c>
      <c r="G6" s="4" t="inlineStr">
        <is>
          <t>EBITDA Margin</t>
        </is>
      </c>
      <c r="H6" s="4" t="inlineStr">
        <is>
          <t>FCF ($M)</t>
        </is>
      </c>
      <c r="I6" s="4" t="inlineStr">
        <is>
          <t>FCF Margin</t>
        </is>
      </c>
    </row>
    <row r="7" ht="20" customHeight="1">
      <c r="A7" s="5" t="inlineStr">
        <is>
          <t>Destination XL Group (DXLG)</t>
        </is>
      </c>
      <c r="B7" s="6" t="n">
        <v>467</v>
      </c>
      <c r="C7" s="7" t="n">
        <v>-0.08</v>
      </c>
      <c r="D7" s="6" t="n">
        <v>214</v>
      </c>
      <c r="E7" s="8">
        <f>IFERROR(D7/B7,"")</f>
        <v/>
      </c>
      <c r="F7" s="6" t="n">
        <v>38</v>
      </c>
      <c r="G7" s="8">
        <f>IFERROR(F7/B7,"")</f>
        <v/>
      </c>
      <c r="H7" s="6" t="n">
        <v>15</v>
      </c>
      <c r="I7" s="8">
        <f>IFERROR(H7/B7,"")</f>
        <v/>
      </c>
    </row>
    <row r="8" ht="20" customHeight="1">
      <c r="A8" s="9" t="inlineStr">
        <is>
          <t>The Buckle (BKE)</t>
        </is>
      </c>
      <c r="B8" s="10" t="n">
        <v>1219</v>
      </c>
      <c r="C8" s="11" t="n">
        <v>-0.026</v>
      </c>
      <c r="D8" s="10" t="n">
        <v>555</v>
      </c>
      <c r="E8" s="12">
        <f>IFERROR(D8/B8,"")</f>
        <v/>
      </c>
      <c r="F8" s="10" t="n">
        <v>270</v>
      </c>
      <c r="G8" s="12">
        <f>IFERROR(F8/B8,"")</f>
        <v/>
      </c>
      <c r="H8" s="10" t="n">
        <v>155</v>
      </c>
      <c r="I8" s="12">
        <f>IFERROR(H8/B8,"")</f>
        <v/>
      </c>
    </row>
    <row r="9" ht="20" customHeight="1">
      <c r="A9" s="9" t="inlineStr">
        <is>
          <t>Cato Corp (CATO)</t>
        </is>
      </c>
      <c r="B9" s="10" t="n">
        <v>675</v>
      </c>
      <c r="C9" s="11" t="n">
        <v>-0.07000000000000001</v>
      </c>
      <c r="D9" s="10" t="n">
        <v>240</v>
      </c>
      <c r="E9" s="12">
        <f>IFERROR(D9/B9,"")</f>
        <v/>
      </c>
      <c r="F9" s="10" t="n">
        <v>15</v>
      </c>
      <c r="G9" s="12">
        <f>IFERROR(F9/B9,"")</f>
        <v/>
      </c>
      <c r="H9" s="10" t="n">
        <v>5</v>
      </c>
      <c r="I9" s="12">
        <f>IFERROR(H9/B9,"")</f>
        <v/>
      </c>
    </row>
    <row r="10" ht="20" customHeight="1">
      <c r="A10" s="9" t="inlineStr">
        <is>
          <t>Citi Trends (CTRN)</t>
        </is>
      </c>
      <c r="B10" s="10" t="n">
        <v>745</v>
      </c>
      <c r="C10" s="11" t="n">
        <v>0.01</v>
      </c>
      <c r="D10" s="10" t="n">
        <v>285</v>
      </c>
      <c r="E10" s="12">
        <f>IFERROR(D10/B10,"")</f>
        <v/>
      </c>
      <c r="F10" s="10" t="n">
        <v>15</v>
      </c>
      <c r="G10" s="12">
        <f>IFERROR(F10/B10,"")</f>
        <v/>
      </c>
      <c r="H10" s="10" t="n">
        <v>5</v>
      </c>
      <c r="I10" s="12">
        <f>IFERROR(H10/B10,"")</f>
        <v/>
      </c>
    </row>
    <row r="11" ht="20" customHeight="1">
      <c r="A11" s="9" t="inlineStr">
        <is>
          <t>Tilly's (TLYS)</t>
        </is>
      </c>
      <c r="B11" s="10" t="n">
        <v>585</v>
      </c>
      <c r="C11" s="11" t="n">
        <v>-0.09</v>
      </c>
      <c r="D11" s="10" t="n">
        <v>170</v>
      </c>
      <c r="E11" s="12">
        <f>IFERROR(D11/B11,"")</f>
        <v/>
      </c>
      <c r="F11" s="10" t="n">
        <v>-5</v>
      </c>
      <c r="G11" s="12">
        <f>IFERROR(F11/B11,"")</f>
        <v/>
      </c>
      <c r="H11" s="10" t="n">
        <v>-15</v>
      </c>
      <c r="I11" s="12">
        <f>IFERROR(H11/B11,"")</f>
        <v/>
      </c>
    </row>
    <row r="12" ht="20" customHeight="1">
      <c r="A12" s="9" t="inlineStr">
        <is>
          <t>Zumiez (ZUMZ)</t>
        </is>
      </c>
      <c r="B12" s="10" t="n">
        <v>885</v>
      </c>
      <c r="C12" s="11" t="n">
        <v>0.015</v>
      </c>
      <c r="D12" s="10" t="n">
        <v>295</v>
      </c>
      <c r="E12" s="12">
        <f>IFERROR(D12/B12,"")</f>
        <v/>
      </c>
      <c r="F12" s="10" t="n">
        <v>30</v>
      </c>
      <c r="G12" s="12">
        <f>IFERROR(F12/B12,"")</f>
        <v/>
      </c>
      <c r="H12" s="10" t="n">
        <v>25</v>
      </c>
      <c r="I12" s="12">
        <f>IFERROR(H12/B12,"")</f>
        <v/>
      </c>
    </row>
    <row r="13" ht="20" customHeight="1">
      <c r="A13" s="9" t="inlineStr">
        <is>
          <t>Genesco (GCO)</t>
        </is>
      </c>
      <c r="B13" s="10" t="n">
        <v>2318</v>
      </c>
      <c r="C13" s="11" t="n">
        <v>0.01</v>
      </c>
      <c r="D13" s="10" t="n">
        <v>1100</v>
      </c>
      <c r="E13" s="12">
        <f>IFERROR(D13/B13,"")</f>
        <v/>
      </c>
      <c r="F13" s="10" t="n">
        <v>60</v>
      </c>
      <c r="G13" s="12">
        <f>IFERROR(F13/B13,"")</f>
        <v/>
      </c>
      <c r="H13" s="10" t="n">
        <v>25</v>
      </c>
      <c r="I13" s="12">
        <f>IFERROR(H13/B13,"")</f>
        <v/>
      </c>
    </row>
    <row r="14" ht="20" customHeight="1">
      <c r="A14" s="9" t="inlineStr">
        <is>
          <t>Designer Brands (DBI)</t>
        </is>
      </c>
      <c r="B14" s="10" t="n">
        <v>3011</v>
      </c>
      <c r="C14" s="11" t="n">
        <v>-0.03</v>
      </c>
      <c r="D14" s="10" t="n">
        <v>910</v>
      </c>
      <c r="E14" s="12">
        <f>IFERROR(D14/B14,"")</f>
        <v/>
      </c>
      <c r="F14" s="10" t="n">
        <v>135</v>
      </c>
      <c r="G14" s="12">
        <f>IFERROR(F14/B14,"")</f>
        <v/>
      </c>
      <c r="H14" s="10" t="n">
        <v>50</v>
      </c>
      <c r="I14" s="12">
        <f>IFERROR(H14/B14,"")</f>
        <v/>
      </c>
    </row>
    <row r="15" ht="20" customHeight="1">
      <c r="A15" s="9" t="inlineStr">
        <is>
          <t>Torrid Holdings (CURV)</t>
        </is>
      </c>
      <c r="B15" s="10" t="n">
        <v>1089</v>
      </c>
      <c r="C15" s="11" t="n">
        <v>-0.04</v>
      </c>
      <c r="D15" s="10" t="n">
        <v>420</v>
      </c>
      <c r="E15" s="12">
        <f>IFERROR(D15/B15,"")</f>
        <v/>
      </c>
      <c r="F15" s="10" t="n">
        <v>110</v>
      </c>
      <c r="G15" s="12">
        <f>IFERROR(F15/B15,"")</f>
        <v/>
      </c>
      <c r="H15" s="10" t="n">
        <v>50</v>
      </c>
      <c r="I15" s="12">
        <f>IFERROR(H15/B15,"")</f>
        <v/>
      </c>
    </row>
    <row r="17" ht="20" customHeight="1">
      <c r="A17" s="13" t="inlineStr">
        <is>
          <t>Maximum</t>
        </is>
      </c>
      <c r="B17" s="14" t="n"/>
      <c r="C17" s="15">
        <f>MAX(C7:C15)</f>
        <v/>
      </c>
      <c r="D17" s="14" t="n"/>
      <c r="E17" s="15">
        <f>MAX(E7:E15)</f>
        <v/>
      </c>
      <c r="F17" s="14" t="n"/>
      <c r="G17" s="15">
        <f>MAX(G7:G15)</f>
        <v/>
      </c>
      <c r="H17" s="14" t="n"/>
      <c r="I17" s="15">
        <f>MAX(I7:I15)</f>
        <v/>
      </c>
    </row>
    <row r="18" ht="20" customHeight="1">
      <c r="A18" s="13" t="inlineStr">
        <is>
          <t>75th Percentile</t>
        </is>
      </c>
      <c r="B18" s="14" t="n"/>
      <c r="C18" s="15">
        <f>QUARTILE(C7:C15,3)</f>
        <v/>
      </c>
      <c r="D18" s="14" t="n"/>
      <c r="E18" s="15">
        <f>QUARTILE(E7:E15,3)</f>
        <v/>
      </c>
      <c r="F18" s="14" t="n"/>
      <c r="G18" s="15">
        <f>QUARTILE(G7:G15,3)</f>
        <v/>
      </c>
      <c r="H18" s="14" t="n"/>
      <c r="I18" s="15">
        <f>QUARTILE(I7:I15,3)</f>
        <v/>
      </c>
    </row>
    <row r="19" ht="20" customHeight="1">
      <c r="A19" s="13" t="inlineStr">
        <is>
          <t>Median</t>
        </is>
      </c>
      <c r="B19" s="14" t="n"/>
      <c r="C19" s="15">
        <f>MEDIAN(C7:C15)</f>
        <v/>
      </c>
      <c r="D19" s="14" t="n"/>
      <c r="E19" s="15">
        <f>MEDIAN(E7:E15)</f>
        <v/>
      </c>
      <c r="F19" s="14" t="n"/>
      <c r="G19" s="15">
        <f>MEDIAN(G7:G15)</f>
        <v/>
      </c>
      <c r="H19" s="14" t="n"/>
      <c r="I19" s="15">
        <f>MEDIAN(I7:I15)</f>
        <v/>
      </c>
    </row>
    <row r="20" ht="20" customHeight="1">
      <c r="A20" s="13" t="inlineStr">
        <is>
          <t>25th Percentile</t>
        </is>
      </c>
      <c r="B20" s="14" t="n"/>
      <c r="C20" s="15">
        <f>QUARTILE(C7:C15,1)</f>
        <v/>
      </c>
      <c r="D20" s="14" t="n"/>
      <c r="E20" s="15">
        <f>QUARTILE(E7:E15,1)</f>
        <v/>
      </c>
      <c r="F20" s="14" t="n"/>
      <c r="G20" s="15">
        <f>QUARTILE(G7:G15,1)</f>
        <v/>
      </c>
      <c r="H20" s="14" t="n"/>
      <c r="I20" s="15">
        <f>QUARTILE(I7:I15,1)</f>
        <v/>
      </c>
    </row>
    <row r="21" ht="20" customHeight="1">
      <c r="A21" s="13" t="inlineStr">
        <is>
          <t>Minimum</t>
        </is>
      </c>
      <c r="B21" s="14" t="n"/>
      <c r="C21" s="15">
        <f>MIN(C7:C15)</f>
        <v/>
      </c>
      <c r="D21" s="14" t="n"/>
      <c r="E21" s="15">
        <f>MIN(E7:E15)</f>
        <v/>
      </c>
      <c r="F21" s="14" t="n"/>
      <c r="G21" s="15">
        <f>MIN(G7:G15)</f>
        <v/>
      </c>
      <c r="H21" s="14" t="n"/>
      <c r="I21" s="15">
        <f>MIN(I7:I15)</f>
        <v/>
      </c>
    </row>
    <row r="24" ht="22" customHeight="1">
      <c r="A24" s="3" t="inlineStr">
        <is>
          <t>VALUATION MULTIPLES &amp; INVESTMENT METRICS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30" customHeight="1">
      <c r="A25" s="4" t="inlineStr">
        <is>
          <t>Company</t>
        </is>
      </c>
      <c r="B25" s="4" t="inlineStr">
        <is>
          <t>Share Price ($)</t>
        </is>
      </c>
      <c r="C25" s="4" t="inlineStr">
        <is>
          <t>Diluted Shares (M)</t>
        </is>
      </c>
      <c r="D25" s="4" t="inlineStr">
        <is>
          <t>Market Cap ($M)</t>
        </is>
      </c>
      <c r="E25" s="4" t="inlineStr">
        <is>
          <t>Net Debt ($M)</t>
        </is>
      </c>
      <c r="F25" s="4" t="inlineStr">
        <is>
          <t>Enterprise Value ($M)</t>
        </is>
      </c>
      <c r="G25" s="4" t="inlineStr">
        <is>
          <t>EV / Revenue</t>
        </is>
      </c>
      <c r="H25" s="4" t="inlineStr">
        <is>
          <t>EV / EBITDA</t>
        </is>
      </c>
      <c r="I25" s="4" t="inlineStr">
        <is>
          <t>P / E (LTM)</t>
        </is>
      </c>
      <c r="J25" s="4" t="inlineStr">
        <is>
          <t>EPS (LTM, $)</t>
        </is>
      </c>
    </row>
    <row r="26" ht="20" customHeight="1">
      <c r="A26" s="5" t="inlineStr">
        <is>
          <t>Destination XL Group (DXLG)</t>
        </is>
      </c>
      <c r="B26" s="16" t="n">
        <v>2.25</v>
      </c>
      <c r="C26" s="17" t="n">
        <v>63</v>
      </c>
      <c r="D26" s="18">
        <f>B26*C26</f>
        <v/>
      </c>
      <c r="E26" s="6" t="n">
        <v>-45</v>
      </c>
      <c r="F26" s="18">
        <f>D26+E26</f>
        <v/>
      </c>
      <c r="G26" s="19">
        <f>IFERROR(F26/B7,"")</f>
        <v/>
      </c>
      <c r="H26" s="19">
        <f>IF(F7&gt;0,F26/F7,"")</f>
        <v/>
      </c>
      <c r="I26" s="19">
        <f>IF(J26&gt;0,B26/J26,"")</f>
        <v/>
      </c>
      <c r="J26" s="20" t="n">
        <v>0.13</v>
      </c>
    </row>
    <row r="27" ht="20" customHeight="1">
      <c r="A27" s="9" t="inlineStr">
        <is>
          <t>The Buckle (BKE)</t>
        </is>
      </c>
      <c r="B27" s="21" t="n">
        <v>45</v>
      </c>
      <c r="C27" s="22" t="n">
        <v>50</v>
      </c>
      <c r="D27" s="23">
        <f>B27*C27</f>
        <v/>
      </c>
      <c r="E27" s="10" t="n">
        <v>-280</v>
      </c>
      <c r="F27" s="23">
        <f>D27+E27</f>
        <v/>
      </c>
      <c r="G27" s="24">
        <f>IFERROR(F27/B8,"")</f>
        <v/>
      </c>
      <c r="H27" s="24">
        <f>IF(F8&gt;0,F27/F8,"")</f>
        <v/>
      </c>
      <c r="I27" s="24">
        <f>IF(J27&gt;0,B27/J27,"")</f>
        <v/>
      </c>
      <c r="J27" s="25" t="n">
        <v>4.05</v>
      </c>
    </row>
    <row r="28" ht="20" customHeight="1">
      <c r="A28" s="9" t="inlineStr">
        <is>
          <t>Cato Corp (CATO)</t>
        </is>
      </c>
      <c r="B28" s="21" t="n">
        <v>4</v>
      </c>
      <c r="C28" s="22" t="n">
        <v>21</v>
      </c>
      <c r="D28" s="23">
        <f>B28*C28</f>
        <v/>
      </c>
      <c r="E28" s="10" t="n">
        <v>-50</v>
      </c>
      <c r="F28" s="23">
        <f>D28+E28</f>
        <v/>
      </c>
      <c r="G28" s="24">
        <f>IFERROR(F28/B9,"")</f>
        <v/>
      </c>
      <c r="H28" s="24">
        <f>IF(F9&gt;0,F28/F9,"")</f>
        <v/>
      </c>
      <c r="I28" s="24">
        <f>IF(J28&gt;0,B28/J28,"")</f>
        <v/>
      </c>
      <c r="J28" s="25" t="n">
        <v>-0.5</v>
      </c>
    </row>
    <row r="29" ht="20" customHeight="1">
      <c r="A29" s="9" t="inlineStr">
        <is>
          <t>Citi Trends (CTRN)</t>
        </is>
      </c>
      <c r="B29" s="21" t="n">
        <v>25</v>
      </c>
      <c r="C29" s="22" t="n">
        <v>8.4</v>
      </c>
      <c r="D29" s="23">
        <f>B29*C29</f>
        <v/>
      </c>
      <c r="E29" s="10" t="n">
        <v>-60</v>
      </c>
      <c r="F29" s="23">
        <f>D29+E29</f>
        <v/>
      </c>
      <c r="G29" s="24">
        <f>IFERROR(F29/B10,"")</f>
        <v/>
      </c>
      <c r="H29" s="24">
        <f>IF(F10&gt;0,F29/F10,"")</f>
        <v/>
      </c>
      <c r="I29" s="24">
        <f>IF(J29&gt;0,B29/J29,"")</f>
        <v/>
      </c>
      <c r="J29" s="25" t="n">
        <v>-1.8</v>
      </c>
    </row>
    <row r="30" ht="20" customHeight="1">
      <c r="A30" s="9" t="inlineStr">
        <is>
          <t>Tilly's (TLYS)</t>
        </is>
      </c>
      <c r="B30" s="21" t="n">
        <v>3.5</v>
      </c>
      <c r="C30" s="22" t="n">
        <v>30</v>
      </c>
      <c r="D30" s="23">
        <f>B30*C30</f>
        <v/>
      </c>
      <c r="E30" s="10" t="n">
        <v>-30</v>
      </c>
      <c r="F30" s="23">
        <f>D30+E30</f>
        <v/>
      </c>
      <c r="G30" s="24">
        <f>IFERROR(F30/B11,"")</f>
        <v/>
      </c>
      <c r="H30" s="24">
        <f>IF(F11&gt;0,F30/F11,"")</f>
        <v/>
      </c>
      <c r="I30" s="24">
        <f>IF(J30&gt;0,B30/J30,"")</f>
        <v/>
      </c>
      <c r="J30" s="25" t="n">
        <v>-1.15</v>
      </c>
    </row>
    <row r="31" ht="20" customHeight="1">
      <c r="A31" s="9" t="inlineStr">
        <is>
          <t>Zumiez (ZUMZ)</t>
        </is>
      </c>
      <c r="B31" s="21" t="n">
        <v>15</v>
      </c>
      <c r="C31" s="22" t="n">
        <v>19.5</v>
      </c>
      <c r="D31" s="23">
        <f>B31*C31</f>
        <v/>
      </c>
      <c r="E31" s="10" t="n">
        <v>-140</v>
      </c>
      <c r="F31" s="23">
        <f>D31+E31</f>
        <v/>
      </c>
      <c r="G31" s="24">
        <f>IFERROR(F31/B12,"")</f>
        <v/>
      </c>
      <c r="H31" s="24">
        <f>IF(F12&gt;0,F31/F12,"")</f>
        <v/>
      </c>
      <c r="I31" s="24">
        <f>IF(J31&gt;0,B31/J31,"")</f>
        <v/>
      </c>
      <c r="J31" s="25" t="n">
        <v>0.1</v>
      </c>
    </row>
    <row r="32" ht="20" customHeight="1">
      <c r="A32" s="9" t="inlineStr">
        <is>
          <t>Genesco (GCO)</t>
        </is>
      </c>
      <c r="B32" s="21" t="n">
        <v>25</v>
      </c>
      <c r="C32" s="22" t="n">
        <v>10.8</v>
      </c>
      <c r="D32" s="23">
        <f>B32*C32</f>
        <v/>
      </c>
      <c r="E32" s="10" t="n">
        <v>180</v>
      </c>
      <c r="F32" s="23">
        <f>D32+E32</f>
        <v/>
      </c>
      <c r="G32" s="24">
        <f>IFERROR(F32/B13,"")</f>
        <v/>
      </c>
      <c r="H32" s="24">
        <f>IF(F13&gt;0,F32/F13,"")</f>
        <v/>
      </c>
      <c r="I32" s="24">
        <f>IF(J32&gt;0,B32/J32,"")</f>
        <v/>
      </c>
      <c r="J32" s="25" t="n">
        <v>-0.9</v>
      </c>
    </row>
    <row r="33" ht="20" customHeight="1">
      <c r="A33" s="9" t="inlineStr">
        <is>
          <t>Designer Brands (DBI)</t>
        </is>
      </c>
      <c r="B33" s="21" t="n">
        <v>5</v>
      </c>
      <c r="C33" s="22" t="n">
        <v>55</v>
      </c>
      <c r="D33" s="23">
        <f>B33*C33</f>
        <v/>
      </c>
      <c r="E33" s="10" t="n">
        <v>200</v>
      </c>
      <c r="F33" s="23">
        <f>D33+E33</f>
        <v/>
      </c>
      <c r="G33" s="24">
        <f>IFERROR(F33/B14,"")</f>
        <v/>
      </c>
      <c r="H33" s="24">
        <f>IF(F14&gt;0,F33/F14,"")</f>
        <v/>
      </c>
      <c r="I33" s="24">
        <f>IF(J33&gt;0,B33/J33,"")</f>
        <v/>
      </c>
      <c r="J33" s="25" t="n">
        <v>0.1</v>
      </c>
    </row>
    <row r="34" ht="20" customHeight="1">
      <c r="A34" s="9" t="inlineStr">
        <is>
          <t>Torrid Holdings (CURV)</t>
        </is>
      </c>
      <c r="B34" s="21" t="n">
        <v>5</v>
      </c>
      <c r="C34" s="22" t="n">
        <v>105</v>
      </c>
      <c r="D34" s="23">
        <f>B34*C34</f>
        <v/>
      </c>
      <c r="E34" s="10" t="n">
        <v>300</v>
      </c>
      <c r="F34" s="23">
        <f>D34+E34</f>
        <v/>
      </c>
      <c r="G34" s="24">
        <f>IFERROR(F34/B15,"")</f>
        <v/>
      </c>
      <c r="H34" s="24">
        <f>IF(F15&gt;0,F34/F15,"")</f>
        <v/>
      </c>
      <c r="I34" s="24">
        <f>IF(J34&gt;0,B34/J34,"")</f>
        <v/>
      </c>
      <c r="J34" s="25" t="n">
        <v>0.25</v>
      </c>
    </row>
    <row r="36" ht="20" customHeight="1">
      <c r="A36" s="13" t="inlineStr">
        <is>
          <t>Maximum</t>
        </is>
      </c>
      <c r="B36" s="14" t="n"/>
      <c r="C36" s="14" t="n"/>
      <c r="D36" s="14" t="n"/>
      <c r="E36" s="14" t="n"/>
      <c r="F36" s="14" t="n"/>
      <c r="G36" s="26">
        <f>MAX(G26:G34)</f>
        <v/>
      </c>
      <c r="H36" s="26">
        <f>MAX(H26:H34)</f>
        <v/>
      </c>
      <c r="I36" s="26">
        <f>MAX(I26:I34)</f>
        <v/>
      </c>
      <c r="J36" s="14" t="n"/>
    </row>
    <row r="37" ht="20" customHeight="1">
      <c r="A37" s="13" t="inlineStr">
        <is>
          <t>75th Percentile</t>
        </is>
      </c>
      <c r="B37" s="14" t="n"/>
      <c r="C37" s="14" t="n"/>
      <c r="D37" s="14" t="n"/>
      <c r="E37" s="14" t="n"/>
      <c r="F37" s="14" t="n"/>
      <c r="G37" s="26">
        <f>QUARTILE(G26:G34,3)</f>
        <v/>
      </c>
      <c r="H37" s="26">
        <f>QUARTILE(H26:H34,3)</f>
        <v/>
      </c>
      <c r="I37" s="26">
        <f>QUARTILE(I26:I34,3)</f>
        <v/>
      </c>
      <c r="J37" s="14" t="n"/>
    </row>
    <row r="38" ht="20" customHeight="1">
      <c r="A38" s="13" t="inlineStr">
        <is>
          <t>Median</t>
        </is>
      </c>
      <c r="B38" s="14" t="n"/>
      <c r="C38" s="14" t="n"/>
      <c r="D38" s="14" t="n"/>
      <c r="E38" s="14" t="n"/>
      <c r="F38" s="14" t="n"/>
      <c r="G38" s="26">
        <f>MEDIAN(G26:G34)</f>
        <v/>
      </c>
      <c r="H38" s="26">
        <f>MEDIAN(H26:H34)</f>
        <v/>
      </c>
      <c r="I38" s="26">
        <f>MEDIAN(I26:I34)</f>
        <v/>
      </c>
      <c r="J38" s="14" t="n"/>
    </row>
    <row r="39" ht="20" customHeight="1">
      <c r="A39" s="13" t="inlineStr">
        <is>
          <t>25th Percentile</t>
        </is>
      </c>
      <c r="B39" s="14" t="n"/>
      <c r="C39" s="14" t="n"/>
      <c r="D39" s="14" t="n"/>
      <c r="E39" s="14" t="n"/>
      <c r="F39" s="14" t="n"/>
      <c r="G39" s="26">
        <f>QUARTILE(G26:G34,1)</f>
        <v/>
      </c>
      <c r="H39" s="26">
        <f>QUARTILE(H26:H34,1)</f>
        <v/>
      </c>
      <c r="I39" s="26">
        <f>QUARTILE(I26:I34,1)</f>
        <v/>
      </c>
      <c r="J39" s="14" t="n"/>
    </row>
    <row r="40" ht="20" customHeight="1">
      <c r="A40" s="13" t="inlineStr">
        <is>
          <t>Minimum</t>
        </is>
      </c>
      <c r="B40" s="14" t="n"/>
      <c r="C40" s="14" t="n"/>
      <c r="D40" s="14" t="n"/>
      <c r="E40" s="14" t="n"/>
      <c r="F40" s="14" t="n"/>
      <c r="G40" s="26">
        <f>MIN(G26:G34)</f>
        <v/>
      </c>
      <c r="H40" s="26">
        <f>MIN(H26:H34)</f>
        <v/>
      </c>
      <c r="I40" s="26">
        <f>MIN(I26:I34)</f>
        <v/>
      </c>
      <c r="J40" s="14" t="n"/>
    </row>
    <row r="43" ht="22" customHeight="1">
      <c r="A43" s="3" t="inlineStr">
        <is>
          <t>NOTES &amp; METHODOLOGY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 ht="45" customHeight="1">
      <c r="A44" s="5" t="inlineStr">
        <is>
          <t>⚠ VERIFY BEFORE USE</t>
        </is>
      </c>
      <c r="B44" s="27" t="inlineStr">
        <is>
          <t>All input figures (blue cells) were populated from training-data recall (Jan 2026 cutoff) citing each company's most recent SEC filing. Every blue cell has a comment with the source filing. VERIFY each figure against the actual EDGAR filing before publishing, trading, or presenting. Share prices are illustrative placeholders as of 2026-05-22 and MUST be refreshed against live market data.</t>
        </is>
      </c>
    </row>
    <row r="46" ht="45" customHeight="1">
      <c r="A46" s="5" t="inlineStr">
        <is>
          <t>Subject company</t>
        </is>
      </c>
      <c r="B46" s="27" t="inlineStr">
        <is>
          <t>DXLG (Destination XL Group) is the subject of this analysis — its row is bolded across both blocks. DXLG operates ~290 Destination XL and Casual Male XL stores serving the US big &amp; tall men's apparel niche. Micro-cap (~$140M market cap on these assumptions), no direct public pure-play competitor.</t>
        </is>
      </c>
    </row>
    <row r="48" ht="45" customHeight="1">
      <c r="A48" s="5" t="inlineStr">
        <is>
          <t>Peer selection rationale</t>
        </is>
      </c>
      <c r="B48" s="27" t="inlineStr">
        <is>
          <t>Selected 8 specialty apparel retailers as the closest liquid public comparison set. BKE/CATO/ZUMZ/CTRN/TLYS are small-cap mall/strip-mall specialty apparel. GCO/DBI are footwear-led specialty retail (Journeys, DSW). CURV (Torrid) is the only true niche/category-specialty parallel (plus-size women). All operate at meaningfully different scales than DXLG; reader should weight comparability accordingly.</t>
        </is>
      </c>
    </row>
    <row r="50" ht="45" customHeight="1">
      <c r="A50" s="5" t="inlineStr">
        <is>
          <t>Reporting periods</t>
        </is>
      </c>
      <c r="B50" s="27" t="inlineStr">
        <is>
          <t>Most peers have Feb fiscal year-ends, giving tight period alignment (FY24/FY25 ended ~Feb 1, 2025). DXLG, BKE, CATO, CTRN, TLYS, ZUMZ, DBI, CURV all align on Feb 2025 year-ends; GCO uses FY25 nomenclature for the same period.</t>
        </is>
      </c>
    </row>
    <row r="52" ht="45" customHeight="1">
      <c r="A52" s="5" t="inlineStr">
        <is>
          <t>EBITDA definition</t>
        </is>
      </c>
      <c r="B52" s="27" t="inlineStr">
        <is>
          <t>Adjusted (non-GAAP) EBITDA per each company's investor presentation reconciliation. Typical add-backs: stock-based comp, store-closure charges, restructuring, impairments. TLYS has NEGATIVE Adj EBITDA in FY24 (operating loss) — EV/EBITDA shown as blank for TLYS and excluded from peer-set stats.</t>
        </is>
      </c>
    </row>
    <row r="54" ht="45" customHeight="1">
      <c r="A54" s="5" t="inlineStr">
        <is>
          <t>Loss-makers handling</t>
        </is>
      </c>
      <c r="B54" s="27" t="inlineStr">
        <is>
          <t>P/E is shown as blank for any peer with negative LTM EPS (CATO, CTRN, TLYS, GCO). EV/EBITDA blank for any peer with negative EBITDA (TLYS only). Excluding these cleanly from stats prevents distortion — MEDIAN and QUARTILE formulas skip empty cells.</t>
        </is>
      </c>
    </row>
    <row r="56" ht="45" customHeight="1">
      <c r="A56" s="5" t="inlineStr">
        <is>
          <t>Enterprise Value</t>
        </is>
      </c>
      <c r="B56" s="27" t="inlineStr">
        <is>
          <t>EV = Market Cap + Total Debt - Cash &amp; ST Investments. Most peers are NET CASH (DXLG, BKE, CATO, CTRN, TLYS, ZUMZ) — a defining feature of conservative specialty-retail balance sheets. GCO, DBI, CURV carry meaningful net debt (CURV's reflects 2021 LBO term loan).</t>
        </is>
      </c>
    </row>
    <row r="58" ht="45" customHeight="1">
      <c r="A58" s="5" t="inlineStr">
        <is>
          <t>Market data caveat</t>
        </is>
      </c>
      <c r="B58" s="27" t="inlineStr">
        <is>
          <t>Share prices in the Valuation block are illustrative placeholders (~May 22, 2026 estimates from training recall) and were NOT refreshed from a live source. REPLACE with verified pricing before relying on the multiples. Diluted share counts per each company's most recent 10-Q cover page.</t>
        </is>
      </c>
    </row>
    <row r="60" ht="45" customHeight="1">
      <c r="A60" s="5" t="inlineStr">
        <is>
          <t>Comparability caveats</t>
        </is>
      </c>
      <c r="B60" s="27" t="inlineStr">
        <is>
          <t>Scale difference is large: DXLG revenue $467M vs peer-set median ~$900M and DBI/GCO &gt;$2B. Business-model heterogeneity: DXLG is a category-specialist (men's big &amp; tall); GCO/DBI/BKE/ZUMZ are footwear or general specialty; CATO/CTRN serve different demographics. The peer set is the best LIQUID PUBLIC comp set available — not a tight pure-play group. Most direct historical comp (Men's Wearhouse / Tailored Brands) went private after 2020 bankruptcy.</t>
        </is>
      </c>
    </row>
    <row r="62" ht="45" customHeight="1">
      <c r="A62" s="5" t="inlineStr">
        <is>
          <t>Color convention</t>
        </is>
      </c>
      <c r="B62" s="27" t="inlineStr">
        <is>
          <t>Blue text = hardcoded input from a filing. Black text = formula. Light-grey rows = statistics (Max / 75th / Median / 25th / Min). Bolded row = DXLG (subject company). Hover over any blue cell to see its source citation.</t>
        </is>
      </c>
    </row>
    <row r="64" ht="45" customHeight="1">
      <c r="A64" s="5" t="inlineStr">
        <is>
          <t>Central question</t>
        </is>
      </c>
      <c r="B64" s="27" t="inlineStr">
        <is>
          <t>Is DXLG fairly valued vs specialty apparel peers, given its category-leader position, net-cash balance sheet, and structurally declining revenue base? Key tensions: (a) DXLG screens cheap on EV/EBITDA and EV/Revenue but so does the whole peer set (consumer-discretionary derate); (b) DXLG's margins are TOP-QUARTILE on EBITDA-margin despite micro-cap scale, supporting a quality premium narrative; (c) revenue declines and traffic risk could compress multiples further.</t>
        </is>
      </c>
    </row>
  </sheetData>
  <mergeCells count="17">
    <mergeCell ref="A1:J1"/>
    <mergeCell ref="A5:I5"/>
    <mergeCell ref="B46:J46"/>
    <mergeCell ref="B54:J54"/>
    <mergeCell ref="A3:J3"/>
    <mergeCell ref="B50:J50"/>
    <mergeCell ref="B60:J60"/>
    <mergeCell ref="B62:J62"/>
    <mergeCell ref="B56:J56"/>
    <mergeCell ref="A43:J43"/>
    <mergeCell ref="A24:J24"/>
    <mergeCell ref="A2:J2"/>
    <mergeCell ref="B58:J58"/>
    <mergeCell ref="B52:J52"/>
    <mergeCell ref="B44:J44"/>
    <mergeCell ref="B48:J48"/>
    <mergeCell ref="B64:J6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2026-05-23T02:38:28Z</dcterms:created>
  <dcterms:modified xsi:type="dcterms:W3CDTF">2026-05-23T02:38:28Z</dcterms:modified>
</cp:coreProperties>
</file>